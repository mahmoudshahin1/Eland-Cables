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 defaultThemeVersion="124226"/>
  <xr:revisionPtr revIDLastSave="0" documentId="13_ncr:1_{7DA71807-57B0-4F0E-9470-369CAF04EC8F}" xr6:coauthVersionLast="47" xr6:coauthVersionMax="47" xr10:uidLastSave="{00000000-0000-0000-0000-000000000000}"/>
  <bookViews>
    <workbookView xWindow="-108" yWindow="-108" windowWidth="23256" windowHeight="12456" tabRatio="853" xr2:uid="{00000000-000D-0000-FFFF-FFFF00000000}"/>
  </bookViews>
  <sheets>
    <sheet name="Summary" sheetId="16" r:id="rId1"/>
    <sheet name="Materials List" sheetId="86" r:id="rId2"/>
    <sheet name="1" sheetId="10" r:id="rId3"/>
    <sheet name="2" sheetId="92" r:id="rId4"/>
    <sheet name="3" sheetId="93" r:id="rId5"/>
    <sheet name="4" sheetId="94" r:id="rId6"/>
  </sheets>
  <definedNames>
    <definedName name="_xlnm._FilterDatabase" localSheetId="1" hidden="1">'Materials List'!$B$5:$I$5</definedName>
    <definedName name="_xlnm._FilterDatabase" localSheetId="0" hidden="1">Summary!$B$12:$N$17</definedName>
    <definedName name="_xlnm.Print_Area" localSheetId="1">'Materials List'!$B$3:$I$8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6" l="1"/>
  <c r="F15" i="16"/>
  <c r="F14" i="16"/>
  <c r="F13" i="16"/>
  <c r="G16" i="16"/>
  <c r="D24" i="16"/>
  <c r="F25" i="94"/>
  <c r="G25" i="94" s="1"/>
  <c r="F24" i="94"/>
  <c r="G24" i="94" s="1"/>
  <c r="F23" i="94"/>
  <c r="G23" i="94" s="1"/>
  <c r="F22" i="94"/>
  <c r="G22" i="94" s="1"/>
  <c r="F21" i="94"/>
  <c r="G21" i="94" s="1"/>
  <c r="F20" i="94"/>
  <c r="F18" i="94"/>
  <c r="F14" i="94"/>
  <c r="F13" i="94"/>
  <c r="F12" i="94"/>
  <c r="F11" i="94"/>
  <c r="F10" i="94"/>
  <c r="F24" i="93"/>
  <c r="G24" i="93" s="1"/>
  <c r="H17" i="86"/>
  <c r="H18" i="86"/>
  <c r="H19" i="86"/>
  <c r="F18" i="86"/>
  <c r="H24" i="92" s="1"/>
  <c r="F19" i="86"/>
  <c r="F17" i="86"/>
  <c r="F40" i="86"/>
  <c r="H40" i="86"/>
  <c r="F41" i="86"/>
  <c r="H41" i="86"/>
  <c r="D17" i="94"/>
  <c r="D18" i="94"/>
  <c r="D19" i="94"/>
  <c r="D20" i="94"/>
  <c r="D21" i="94"/>
  <c r="D22" i="94"/>
  <c r="D23" i="94"/>
  <c r="D24" i="94"/>
  <c r="D25" i="94"/>
  <c r="D17" i="93"/>
  <c r="D18" i="93"/>
  <c r="D19" i="93"/>
  <c r="D20" i="93"/>
  <c r="D21" i="93"/>
  <c r="D22" i="93"/>
  <c r="D23" i="93"/>
  <c r="D24" i="93"/>
  <c r="D25" i="93"/>
  <c r="G21" i="92"/>
  <c r="G22" i="92"/>
  <c r="G23" i="92"/>
  <c r="G24" i="92"/>
  <c r="D21" i="92"/>
  <c r="D22" i="92"/>
  <c r="D23" i="92"/>
  <c r="D24" i="92"/>
  <c r="D34" i="86"/>
  <c r="D33" i="86"/>
  <c r="D25" i="86"/>
  <c r="D24" i="86"/>
  <c r="D23" i="86"/>
  <c r="D21" i="86"/>
  <c r="D16" i="86"/>
  <c r="D15" i="86"/>
  <c r="D12" i="86"/>
  <c r="D11" i="86"/>
  <c r="F42" i="86"/>
  <c r="F39" i="86"/>
  <c r="F38" i="86"/>
  <c r="F37" i="86"/>
  <c r="D36" i="86"/>
  <c r="D35" i="86"/>
  <c r="D32" i="86"/>
  <c r="D31" i="86"/>
  <c r="D30" i="86"/>
  <c r="D29" i="86"/>
  <c r="D28" i="86"/>
  <c r="D27" i="86"/>
  <c r="D26" i="86"/>
  <c r="D22" i="86"/>
  <c r="D14" i="86"/>
  <c r="D13" i="86"/>
  <c r="D20" i="86"/>
  <c r="J24" i="92" l="1"/>
  <c r="H10" i="86" l="1"/>
  <c r="F10" i="86"/>
  <c r="H13" i="16" a="1"/>
  <c r="H16" i="16" a="1"/>
  <c r="G13" i="16" a="1"/>
  <c r="H14" i="16" a="1"/>
  <c r="H15" i="16" a="1"/>
  <c r="G15" i="16" a="1"/>
  <c r="G14" i="16" a="1"/>
  <c r="B9" i="92"/>
  <c r="E14" i="16" s="1"/>
  <c r="E15" i="16"/>
  <c r="B9" i="94"/>
  <c r="E16" i="16" s="1"/>
  <c r="B9" i="10"/>
  <c r="E13" i="16" s="1"/>
  <c r="H22" i="94" l="1"/>
  <c r="H22" i="93"/>
  <c r="H28" i="86"/>
  <c r="H27" i="86"/>
  <c r="J22" i="94" l="1"/>
  <c r="F41" i="94" l="1"/>
  <c r="G41" i="94" s="1"/>
  <c r="F40" i="94"/>
  <c r="F42" i="94" s="1"/>
  <c r="F41" i="93"/>
  <c r="G41" i="93" s="1"/>
  <c r="F40" i="93"/>
  <c r="F42" i="93" s="1"/>
  <c r="F41" i="92"/>
  <c r="G41" i="92" s="1"/>
  <c r="F40" i="92"/>
  <c r="H32" i="86"/>
  <c r="H31" i="86"/>
  <c r="H30" i="86"/>
  <c r="F42" i="92" l="1"/>
  <c r="G40" i="94"/>
  <c r="G40" i="93"/>
  <c r="G40" i="92"/>
  <c r="R16" i="93"/>
  <c r="Q6" i="93"/>
  <c r="P26" i="93" s="1"/>
  <c r="R16" i="94"/>
  <c r="Q6" i="94"/>
  <c r="P26" i="94" s="1"/>
  <c r="F37" i="10"/>
  <c r="F36" i="10"/>
  <c r="F38" i="10" s="1"/>
  <c r="F22" i="93" l="1"/>
  <c r="G22" i="93" s="1"/>
  <c r="J22" i="93" s="1"/>
  <c r="F18" i="93"/>
  <c r="F13" i="93"/>
  <c r="F10" i="93"/>
  <c r="F25" i="93"/>
  <c r="G25" i="93" s="1"/>
  <c r="F23" i="93"/>
  <c r="G23" i="93" s="1"/>
  <c r="F21" i="93"/>
  <c r="G21" i="93" s="1"/>
  <c r="F20" i="93"/>
  <c r="F14" i="93"/>
  <c r="F12" i="93"/>
  <c r="F11" i="93"/>
  <c r="G36" i="10"/>
  <c r="G37" i="10"/>
  <c r="H13" i="86" l="1"/>
  <c r="H11" i="86"/>
  <c r="K8" i="94"/>
  <c r="I8" i="94"/>
  <c r="K8" i="93"/>
  <c r="I8" i="93"/>
  <c r="K8" i="92"/>
  <c r="I8" i="92"/>
  <c r="E4" i="94"/>
  <c r="I22" i="94" s="1"/>
  <c r="K22" i="94" s="1"/>
  <c r="D4" i="94"/>
  <c r="E4" i="93"/>
  <c r="I22" i="93" s="1"/>
  <c r="K22" i="93" s="1"/>
  <c r="D4" i="93"/>
  <c r="E4" i="92"/>
  <c r="I24" i="92" s="1"/>
  <c r="K24" i="92" s="1"/>
  <c r="D4" i="92"/>
  <c r="F9" i="86"/>
  <c r="H12" i="86" l="1"/>
  <c r="I36" i="94" l="1"/>
  <c r="K36" i="94" s="1"/>
  <c r="I35" i="94"/>
  <c r="K35" i="94" s="1"/>
  <c r="K37" i="94" s="1"/>
  <c r="I36" i="93"/>
  <c r="K36" i="93" s="1"/>
  <c r="I35" i="93"/>
  <c r="K35" i="93" s="1"/>
  <c r="K37" i="93" s="1"/>
  <c r="I36" i="92"/>
  <c r="K36" i="92" s="1"/>
  <c r="I35" i="92"/>
  <c r="K35" i="92" s="1"/>
  <c r="I32" i="10"/>
  <c r="K32" i="10" s="1"/>
  <c r="I31" i="10"/>
  <c r="K31" i="10" s="1"/>
  <c r="J36" i="94"/>
  <c r="J35" i="94"/>
  <c r="J36" i="93"/>
  <c r="J35" i="93"/>
  <c r="J36" i="92"/>
  <c r="J35" i="92"/>
  <c r="P14" i="16"/>
  <c r="Q14" i="16"/>
  <c r="P15" i="16"/>
  <c r="Q15" i="16"/>
  <c r="P16" i="16"/>
  <c r="Q16" i="16"/>
  <c r="Q13" i="16"/>
  <c r="P13" i="16"/>
  <c r="J32" i="10"/>
  <c r="J31" i="10"/>
  <c r="J37" i="92" l="1"/>
  <c r="J37" i="94"/>
  <c r="K38" i="94" s="1"/>
  <c r="J37" i="93"/>
  <c r="K38" i="93" s="1"/>
  <c r="P17" i="16"/>
  <c r="Q17" i="16"/>
  <c r="K37" i="92"/>
  <c r="K33" i="10"/>
  <c r="J33" i="10"/>
  <c r="K38" i="92" l="1"/>
  <c r="K34" i="10"/>
  <c r="K6" i="94" l="1"/>
  <c r="K6" i="93"/>
  <c r="E42" i="93" l="1"/>
  <c r="G42" i="93" s="1"/>
  <c r="P6" i="93"/>
  <c r="E42" i="94"/>
  <c r="G42" i="94" s="1"/>
  <c r="P6" i="94"/>
  <c r="P13" i="94" s="1"/>
  <c r="P13" i="93" l="1"/>
  <c r="P9" i="93"/>
  <c r="P15" i="93"/>
  <c r="R12" i="93" s="1"/>
  <c r="F19" i="93" s="1"/>
  <c r="P20" i="93"/>
  <c r="R14" i="93" s="1"/>
  <c r="P11" i="93"/>
  <c r="P21" i="93"/>
  <c r="R13" i="93" s="1"/>
  <c r="P21" i="94"/>
  <c r="R13" i="94" s="1"/>
  <c r="P15" i="94"/>
  <c r="R12" i="94" s="1"/>
  <c r="F19" i="94" s="1"/>
  <c r="P11" i="94"/>
  <c r="P20" i="94"/>
  <c r="R14" i="94" s="1"/>
  <c r="P9" i="94"/>
  <c r="R9" i="94" l="1"/>
  <c r="F9" i="94" s="1"/>
  <c r="R11" i="94"/>
  <c r="R10" i="94"/>
  <c r="F16" i="94" s="1"/>
  <c r="R11" i="93"/>
  <c r="R10" i="93"/>
  <c r="F16" i="93" s="1"/>
  <c r="R9" i="93"/>
  <c r="F9" i="93" s="1"/>
  <c r="F17" i="94" l="1"/>
  <c r="F15" i="94"/>
  <c r="F17" i="93"/>
  <c r="F15" i="93"/>
  <c r="H34" i="86" l="1"/>
  <c r="H33" i="86"/>
  <c r="D10" i="92" l="1"/>
  <c r="D11" i="92"/>
  <c r="D12" i="92"/>
  <c r="D13" i="92"/>
  <c r="D14" i="92"/>
  <c r="D15" i="92"/>
  <c r="D16" i="92"/>
  <c r="D17" i="92"/>
  <c r="D18" i="92"/>
  <c r="D19" i="92"/>
  <c r="D20" i="92"/>
  <c r="D10" i="93"/>
  <c r="D11" i="93"/>
  <c r="D12" i="93"/>
  <c r="D13" i="93"/>
  <c r="D14" i="93"/>
  <c r="D15" i="93"/>
  <c r="D16" i="93"/>
  <c r="D10" i="94"/>
  <c r="D11" i="94"/>
  <c r="D12" i="94"/>
  <c r="D13" i="94"/>
  <c r="D14" i="94"/>
  <c r="D15" i="94"/>
  <c r="D16" i="94"/>
  <c r="D10" i="10"/>
  <c r="D11" i="10"/>
  <c r="D12" i="10"/>
  <c r="D13" i="10"/>
  <c r="D14" i="10"/>
  <c r="D15" i="10"/>
  <c r="D16" i="10"/>
  <c r="D9" i="92"/>
  <c r="D9" i="93"/>
  <c r="D9" i="94"/>
  <c r="D9" i="10"/>
  <c r="J22" i="16" l="1"/>
  <c r="D4" i="10" l="1"/>
  <c r="C7" i="16" l="1"/>
  <c r="C6" i="16"/>
  <c r="L12" i="16"/>
  <c r="K12" i="16"/>
  <c r="J12" i="16"/>
  <c r="I12" i="16"/>
  <c r="K8" i="10"/>
  <c r="I8" i="10"/>
  <c r="E4" i="10"/>
  <c r="D8" i="16"/>
  <c r="K25" i="16" s="1"/>
  <c r="L25" i="16" s="1"/>
  <c r="L26" i="16" s="1"/>
  <c r="K22" i="16" s="1"/>
  <c r="C16" i="16"/>
  <c r="C15" i="16"/>
  <c r="C14" i="16"/>
  <c r="C13" i="16"/>
  <c r="H42" i="86"/>
  <c r="H39" i="86"/>
  <c r="H38" i="86"/>
  <c r="H37" i="86"/>
  <c r="F3" i="86" l="1"/>
  <c r="E3" i="86"/>
  <c r="H36" i="86"/>
  <c r="H35" i="86"/>
  <c r="H7" i="86"/>
  <c r="H29" i="86"/>
  <c r="H26" i="86"/>
  <c r="H25" i="86"/>
  <c r="H24" i="86"/>
  <c r="H23" i="86"/>
  <c r="H22" i="86"/>
  <c r="H21" i="86"/>
  <c r="H20" i="86"/>
  <c r="H16" i="86"/>
  <c r="H15" i="86"/>
  <c r="H14" i="86"/>
  <c r="H9" i="86"/>
  <c r="H8" i="86"/>
  <c r="H6" i="86"/>
  <c r="H5" i="86"/>
  <c r="F11" i="86" l="1"/>
  <c r="F14" i="86"/>
  <c r="F25" i="86"/>
  <c r="F27" i="86"/>
  <c r="F28" i="86"/>
  <c r="F31" i="86"/>
  <c r="F32" i="86"/>
  <c r="H20" i="93" s="1"/>
  <c r="I20" i="93" s="1"/>
  <c r="F30" i="86"/>
  <c r="F13" i="86"/>
  <c r="H22" i="92" s="1"/>
  <c r="F12" i="86"/>
  <c r="H21" i="92" s="1"/>
  <c r="F29" i="86"/>
  <c r="F20" i="86"/>
  <c r="H23" i="92" s="1"/>
  <c r="F15" i="86"/>
  <c r="H23" i="93" s="1"/>
  <c r="F16" i="86"/>
  <c r="H23" i="94" s="1"/>
  <c r="F26" i="86"/>
  <c r="F35" i="86"/>
  <c r="H21" i="94" s="1"/>
  <c r="F22" i="86"/>
  <c r="F23" i="86"/>
  <c r="F24" i="86"/>
  <c r="F34" i="86"/>
  <c r="F21" i="86"/>
  <c r="F36" i="86"/>
  <c r="H21" i="93" s="1"/>
  <c r="F33" i="86"/>
  <c r="G19" i="92"/>
  <c r="G19" i="94"/>
  <c r="G20" i="92"/>
  <c r="G20" i="94"/>
  <c r="G19" i="93"/>
  <c r="G20" i="93"/>
  <c r="H25" i="94" l="1"/>
  <c r="H25" i="93"/>
  <c r="J23" i="93"/>
  <c r="I23" i="93"/>
  <c r="K23" i="93" s="1"/>
  <c r="J23" i="94"/>
  <c r="I23" i="94"/>
  <c r="K23" i="94" s="1"/>
  <c r="I22" i="92"/>
  <c r="K22" i="92" s="1"/>
  <c r="J22" i="92"/>
  <c r="J21" i="92"/>
  <c r="I21" i="92"/>
  <c r="K21" i="92" s="1"/>
  <c r="I23" i="92"/>
  <c r="K23" i="92" s="1"/>
  <c r="J23" i="92"/>
  <c r="J21" i="94"/>
  <c r="I21" i="94"/>
  <c r="K21" i="94" s="1"/>
  <c r="H24" i="93"/>
  <c r="H24" i="94"/>
  <c r="J21" i="93"/>
  <c r="I21" i="93"/>
  <c r="K21" i="93" s="1"/>
  <c r="J20" i="93"/>
  <c r="K20" i="93"/>
  <c r="J27" i="94"/>
  <c r="G18" i="94"/>
  <c r="G17" i="94"/>
  <c r="G16" i="94"/>
  <c r="G15" i="94"/>
  <c r="G14" i="94"/>
  <c r="G13" i="94"/>
  <c r="G12" i="94"/>
  <c r="G11" i="94"/>
  <c r="G10" i="94"/>
  <c r="G9" i="94"/>
  <c r="G18" i="93"/>
  <c r="G17" i="93"/>
  <c r="G16" i="93"/>
  <c r="G15" i="93"/>
  <c r="G14" i="93"/>
  <c r="G13" i="93"/>
  <c r="G12" i="93"/>
  <c r="G11" i="93"/>
  <c r="G10" i="93"/>
  <c r="G9" i="93"/>
  <c r="I25" i="94" l="1"/>
  <c r="K25" i="94" s="1"/>
  <c r="J25" i="94"/>
  <c r="J25" i="93"/>
  <c r="I25" i="93"/>
  <c r="K25" i="93" s="1"/>
  <c r="J24" i="93"/>
  <c r="I24" i="93"/>
  <c r="K24" i="93" s="1"/>
  <c r="J24" i="94"/>
  <c r="I24" i="94"/>
  <c r="K24" i="94" s="1"/>
  <c r="J27" i="93"/>
  <c r="I27" i="93"/>
  <c r="K27" i="93" s="1"/>
  <c r="I27" i="94"/>
  <c r="K27" i="94" s="1"/>
  <c r="H18" i="94" l="1"/>
  <c r="H17" i="94"/>
  <c r="H16" i="94"/>
  <c r="H15" i="94"/>
  <c r="H14" i="94"/>
  <c r="H13" i="94"/>
  <c r="H12" i="94"/>
  <c r="H11" i="94"/>
  <c r="H10" i="94"/>
  <c r="H18" i="93"/>
  <c r="H17" i="93"/>
  <c r="H16" i="93"/>
  <c r="H15" i="93"/>
  <c r="H14" i="93"/>
  <c r="H13" i="93"/>
  <c r="H12" i="93"/>
  <c r="H11" i="93"/>
  <c r="H18" i="92"/>
  <c r="H17" i="92"/>
  <c r="H16" i="92"/>
  <c r="H15" i="92"/>
  <c r="H14" i="92"/>
  <c r="H13" i="92"/>
  <c r="H12" i="92"/>
  <c r="H11" i="92"/>
  <c r="H10" i="92"/>
  <c r="H9" i="93"/>
  <c r="H16" i="10"/>
  <c r="H15" i="10"/>
  <c r="H14" i="10"/>
  <c r="H13" i="10"/>
  <c r="H12" i="10"/>
  <c r="H11" i="10"/>
  <c r="H10" i="10"/>
  <c r="H20" i="94"/>
  <c r="H20" i="92"/>
  <c r="H19" i="92"/>
  <c r="J18" i="94" l="1"/>
  <c r="I18" i="94"/>
  <c r="K18" i="94" s="1"/>
  <c r="J17" i="94"/>
  <c r="I17" i="94"/>
  <c r="K17" i="94" s="1"/>
  <c r="J16" i="94"/>
  <c r="I16" i="94"/>
  <c r="K16" i="94" s="1"/>
  <c r="J15" i="94"/>
  <c r="I15" i="94"/>
  <c r="K15" i="94" s="1"/>
  <c r="J14" i="94"/>
  <c r="I14" i="94"/>
  <c r="K14" i="94" s="1"/>
  <c r="J13" i="94"/>
  <c r="I13" i="94"/>
  <c r="K13" i="94" s="1"/>
  <c r="J12" i="94"/>
  <c r="I12" i="94"/>
  <c r="K12" i="94" s="1"/>
  <c r="J11" i="94"/>
  <c r="I11" i="94"/>
  <c r="K11" i="94" s="1"/>
  <c r="J10" i="94"/>
  <c r="I10" i="94"/>
  <c r="K10" i="94" s="1"/>
  <c r="I18" i="93"/>
  <c r="K18" i="93" s="1"/>
  <c r="J18" i="93"/>
  <c r="I17" i="93"/>
  <c r="K17" i="93" s="1"/>
  <c r="J17" i="93"/>
  <c r="J16" i="93"/>
  <c r="I16" i="93"/>
  <c r="K16" i="93" s="1"/>
  <c r="I15" i="93"/>
  <c r="K15" i="93" s="1"/>
  <c r="J15" i="93"/>
  <c r="I14" i="93"/>
  <c r="K14" i="93" s="1"/>
  <c r="J14" i="93"/>
  <c r="I13" i="93"/>
  <c r="K13" i="93" s="1"/>
  <c r="J13" i="93"/>
  <c r="J12" i="93"/>
  <c r="I12" i="93"/>
  <c r="K12" i="93" s="1"/>
  <c r="J11" i="93"/>
  <c r="I11" i="93"/>
  <c r="K11" i="93" s="1"/>
  <c r="I9" i="93"/>
  <c r="K9" i="93" s="1"/>
  <c r="J9" i="93"/>
  <c r="J20" i="94"/>
  <c r="I20" i="94"/>
  <c r="K20" i="94" s="1"/>
  <c r="J20" i="92"/>
  <c r="I20" i="92"/>
  <c r="K20" i="92" s="1"/>
  <c r="J19" i="92"/>
  <c r="I19" i="92"/>
  <c r="K19" i="92" s="1"/>
  <c r="K6" i="92" l="1"/>
  <c r="J27" i="92"/>
  <c r="G18" i="92"/>
  <c r="G17" i="92"/>
  <c r="G16" i="92"/>
  <c r="G15" i="92"/>
  <c r="G14" i="92"/>
  <c r="G13" i="92"/>
  <c r="G12" i="92"/>
  <c r="G11" i="92"/>
  <c r="G10" i="92"/>
  <c r="G9" i="92"/>
  <c r="I27" i="92"/>
  <c r="K27" i="92" s="1"/>
  <c r="E42" i="92" l="1"/>
  <c r="G42" i="92" s="1"/>
  <c r="J10" i="92"/>
  <c r="I11" i="92"/>
  <c r="K11" i="92" s="1"/>
  <c r="I17" i="92"/>
  <c r="K17" i="92" s="1"/>
  <c r="I12" i="92"/>
  <c r="K12" i="92" s="1"/>
  <c r="I15" i="92"/>
  <c r="K15" i="92" s="1"/>
  <c r="I10" i="92"/>
  <c r="K10" i="92" s="1"/>
  <c r="I13" i="92"/>
  <c r="K13" i="92" s="1"/>
  <c r="I18" i="92"/>
  <c r="K18" i="92" s="1"/>
  <c r="J11" i="92"/>
  <c r="J12" i="92"/>
  <c r="J13" i="92"/>
  <c r="J14" i="92"/>
  <c r="J15" i="92"/>
  <c r="J17" i="92"/>
  <c r="J18" i="92"/>
  <c r="I14" i="92"/>
  <c r="K14" i="92" s="1"/>
  <c r="I16" i="92"/>
  <c r="K16" i="92" s="1"/>
  <c r="J16" i="92" l="1"/>
  <c r="F16" i="10" l="1"/>
  <c r="G16" i="10" s="1"/>
  <c r="J16" i="10" l="1"/>
  <c r="F15" i="10"/>
  <c r="F14" i="10"/>
  <c r="F13" i="10"/>
  <c r="F12" i="10"/>
  <c r="F11" i="10"/>
  <c r="F10" i="10"/>
  <c r="F9" i="10"/>
  <c r="D10" i="16" l="1"/>
  <c r="D6" i="86" l="1"/>
  <c r="F6" i="86" s="1"/>
  <c r="E3" i="93"/>
  <c r="E3" i="94"/>
  <c r="E3" i="92"/>
  <c r="D8" i="86"/>
  <c r="F8" i="86" s="1"/>
  <c r="I16" i="10"/>
  <c r="K16" i="10" s="1"/>
  <c r="H9" i="10" l="1"/>
  <c r="H9" i="94"/>
  <c r="H9" i="92"/>
  <c r="H19" i="93"/>
  <c r="H19" i="94"/>
  <c r="J23" i="10"/>
  <c r="D9" i="16"/>
  <c r="K6" i="10"/>
  <c r="I9" i="94" l="1"/>
  <c r="K9" i="94" s="1"/>
  <c r="J9" i="94"/>
  <c r="J9" i="92"/>
  <c r="I9" i="92"/>
  <c r="K9" i="92" s="1"/>
  <c r="K28" i="92" s="1"/>
  <c r="J19" i="93"/>
  <c r="I19" i="93"/>
  <c r="K19" i="93" s="1"/>
  <c r="J19" i="94"/>
  <c r="I19" i="94"/>
  <c r="K19" i="94" s="1"/>
  <c r="E38" i="10"/>
  <c r="G38" i="10" s="1"/>
  <c r="E2" i="93"/>
  <c r="E2" i="92"/>
  <c r="E2" i="94"/>
  <c r="D7" i="86"/>
  <c r="F7" i="86" s="1"/>
  <c r="H10" i="93" s="1"/>
  <c r="G14" i="10"/>
  <c r="G15" i="10"/>
  <c r="G11" i="10"/>
  <c r="G13" i="10"/>
  <c r="G12" i="10"/>
  <c r="G9" i="10"/>
  <c r="G10" i="10"/>
  <c r="I23" i="10"/>
  <c r="K23" i="10" s="1"/>
  <c r="E3" i="10"/>
  <c r="E2" i="10"/>
  <c r="J28" i="94" l="1"/>
  <c r="J28" i="92"/>
  <c r="K28" i="94"/>
  <c r="I10" i="93"/>
  <c r="K10" i="93" s="1"/>
  <c r="K28" i="93" s="1"/>
  <c r="J10" i="93"/>
  <c r="I10" i="10"/>
  <c r="K10" i="10" s="1"/>
  <c r="J30" i="94" l="1"/>
  <c r="J29" i="94"/>
  <c r="J31" i="94"/>
  <c r="J30" i="92"/>
  <c r="J29" i="92"/>
  <c r="J31" i="92"/>
  <c r="J28" i="93"/>
  <c r="J12" i="10"/>
  <c r="I12" i="10"/>
  <c r="K12" i="10" s="1"/>
  <c r="J11" i="10"/>
  <c r="I11" i="10"/>
  <c r="K11" i="10" s="1"/>
  <c r="J10" i="10"/>
  <c r="J32" i="94" l="1"/>
  <c r="K30" i="94"/>
  <c r="K29" i="94"/>
  <c r="K31" i="94"/>
  <c r="K30" i="92"/>
  <c r="J32" i="92"/>
  <c r="K29" i="92"/>
  <c r="K31" i="92"/>
  <c r="J31" i="93"/>
  <c r="J30" i="93"/>
  <c r="J29" i="93"/>
  <c r="I14" i="10"/>
  <c r="K14" i="10" s="1"/>
  <c r="J14" i="10"/>
  <c r="J15" i="10"/>
  <c r="J13" i="10"/>
  <c r="I13" i="10"/>
  <c r="K13" i="10" s="1"/>
  <c r="J9" i="10"/>
  <c r="I9" i="10"/>
  <c r="K9" i="10" s="1"/>
  <c r="L9" i="94" l="1"/>
  <c r="L14" i="94"/>
  <c r="L29" i="94"/>
  <c r="L19" i="94"/>
  <c r="L30" i="94"/>
  <c r="L31" i="94"/>
  <c r="K32" i="92"/>
  <c r="K32" i="94"/>
  <c r="L17" i="94"/>
  <c r="L15" i="94"/>
  <c r="L13" i="94"/>
  <c r="L18" i="94"/>
  <c r="L11" i="94"/>
  <c r="L16" i="94"/>
  <c r="L10" i="94"/>
  <c r="L12" i="94"/>
  <c r="L27" i="94"/>
  <c r="L20" i="94"/>
  <c r="L25" i="94"/>
  <c r="L24" i="94"/>
  <c r="L23" i="94"/>
  <c r="L22" i="94"/>
  <c r="L21" i="94"/>
  <c r="J32" i="93"/>
  <c r="L30" i="92"/>
  <c r="L29" i="92"/>
  <c r="L31" i="92"/>
  <c r="L9" i="92"/>
  <c r="L20" i="92"/>
  <c r="L24" i="92"/>
  <c r="L21" i="92"/>
  <c r="L19" i="92"/>
  <c r="L23" i="92"/>
  <c r="L22" i="92"/>
  <c r="L15" i="92"/>
  <c r="L17" i="92"/>
  <c r="L27" i="92"/>
  <c r="L11" i="92"/>
  <c r="L12" i="92"/>
  <c r="L13" i="92"/>
  <c r="L14" i="92"/>
  <c r="L10" i="92"/>
  <c r="L18" i="92"/>
  <c r="L16" i="92"/>
  <c r="K31" i="93"/>
  <c r="K30" i="93"/>
  <c r="K29" i="93"/>
  <c r="I15" i="10"/>
  <c r="K15" i="10" s="1"/>
  <c r="K24" i="10" s="1"/>
  <c r="J24" i="10"/>
  <c r="L28" i="94" l="1"/>
  <c r="L32" i="94" s="1"/>
  <c r="K32" i="93"/>
  <c r="L28" i="92"/>
  <c r="L32" i="92" s="1"/>
  <c r="K14" i="16"/>
  <c r="O31" i="92"/>
  <c r="O32" i="92" s="1"/>
  <c r="O31" i="94"/>
  <c r="O32" i="94" s="1"/>
  <c r="K16" i="16"/>
  <c r="L10" i="93"/>
  <c r="L19" i="93"/>
  <c r="L27" i="93"/>
  <c r="L17" i="93"/>
  <c r="L14" i="93"/>
  <c r="L11" i="93"/>
  <c r="L9" i="93"/>
  <c r="L18" i="93"/>
  <c r="L16" i="93"/>
  <c r="L15" i="93"/>
  <c r="L13" i="93"/>
  <c r="L12" i="93"/>
  <c r="L24" i="93"/>
  <c r="L25" i="93"/>
  <c r="L23" i="93"/>
  <c r="L22" i="93"/>
  <c r="L21" i="93"/>
  <c r="L20" i="93"/>
  <c r="L31" i="93"/>
  <c r="L30" i="93"/>
  <c r="L29" i="93"/>
  <c r="J27" i="10"/>
  <c r="K27" i="10" s="1"/>
  <c r="J25" i="10"/>
  <c r="K25" i="10" s="1"/>
  <c r="J26" i="10"/>
  <c r="K26" i="10" s="1"/>
  <c r="L28" i="93" l="1"/>
  <c r="L32" i="93" s="1"/>
  <c r="O31" i="93"/>
  <c r="O32" i="93" s="1"/>
  <c r="K15" i="16"/>
  <c r="I14" i="16"/>
  <c r="L14" i="16"/>
  <c r="I16" i="16"/>
  <c r="L16" i="16"/>
  <c r="K28" i="10"/>
  <c r="K13" i="16" s="1"/>
  <c r="I13" i="16" s="1"/>
  <c r="S13" i="16" s="1"/>
  <c r="U13" i="16" s="1"/>
  <c r="J28" i="10"/>
  <c r="J14" i="16" l="1"/>
  <c r="M14" i="16" s="1"/>
  <c r="N14" i="16" s="1"/>
  <c r="S14" i="16"/>
  <c r="U14" i="16" s="1"/>
  <c r="I15" i="16"/>
  <c r="L15" i="16"/>
  <c r="J16" i="16"/>
  <c r="M16" i="16" s="1"/>
  <c r="N16" i="16" s="1"/>
  <c r="S16" i="16"/>
  <c r="U16" i="16" s="1"/>
  <c r="L14" i="10"/>
  <c r="L16" i="10"/>
  <c r="L15" i="10"/>
  <c r="L13" i="10"/>
  <c r="L12" i="10"/>
  <c r="L11" i="10"/>
  <c r="O27" i="10"/>
  <c r="O28" i="10" s="1"/>
  <c r="L25" i="10"/>
  <c r="L9" i="10"/>
  <c r="L27" i="10"/>
  <c r="L23" i="10"/>
  <c r="L10" i="10"/>
  <c r="L26" i="10"/>
  <c r="S15" i="16" l="1"/>
  <c r="U15" i="16" s="1"/>
  <c r="J15" i="16"/>
  <c r="M15" i="16" s="1"/>
  <c r="N15" i="16" s="1"/>
  <c r="L13" i="16"/>
  <c r="L17" i="16" s="1"/>
  <c r="J13" i="16"/>
  <c r="L24" i="10"/>
  <c r="L28" i="10" s="1"/>
  <c r="J17" i="16" l="1"/>
  <c r="L22" i="16" s="1"/>
  <c r="M22" i="16" s="1"/>
  <c r="M13" i="16"/>
  <c r="N13" i="16" s="1"/>
  <c r="L23" i="16" l="1"/>
  <c r="M17" i="16"/>
  <c r="N17" i="16" s="1"/>
  <c r="J18" i="16" l="1"/>
  <c r="J19" i="16" s="1"/>
  <c r="L18" i="16"/>
  <c r="L19" i="16"/>
  <c r="M19" i="16" l="1"/>
  <c r="N19" i="16" s="1"/>
  <c r="M18" i="16"/>
  <c r="N18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CU Customs Exp. %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DED6DD-B71C-4E45-AA06-1DCA0AFE09E4}" keepAlive="1" name="Query - Table 1" description="Connection to the 'Table 1' query in the workbook." type="5" refreshedVersion="0" background="1">
    <dbPr connection="Provider=Microsoft.Mashup.OleDb.1;Data Source=$Workbook$;Location=&quot;Table 1&quot;;Extended Properties=&quot;&quot;" command="SELECT * FROM [Table 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<sst xmlns="http://schemas.openxmlformats.org/spreadsheetml/2006/main" count="434" uniqueCount="171">
  <si>
    <t>Material Code</t>
  </si>
  <si>
    <t>Materails Description</t>
  </si>
  <si>
    <t>Unit Price L.E</t>
  </si>
  <si>
    <t>Value L.E</t>
  </si>
  <si>
    <t>%</t>
  </si>
  <si>
    <t>Qty Required</t>
  </si>
  <si>
    <t>Aluminum</t>
  </si>
  <si>
    <t>Copper</t>
  </si>
  <si>
    <t>USD Rate</t>
  </si>
  <si>
    <t>Standard Qty</t>
  </si>
  <si>
    <t>Scrap %</t>
  </si>
  <si>
    <t>Qty with Scrap Allow.</t>
  </si>
  <si>
    <t>Total Materials Cost</t>
  </si>
  <si>
    <t>MOH</t>
  </si>
  <si>
    <t>Finanace Cost</t>
  </si>
  <si>
    <t>Sales Price</t>
  </si>
  <si>
    <t>G&amp;A &amp; Marketing</t>
  </si>
  <si>
    <t>Net Profit</t>
  </si>
  <si>
    <t>Total Cable Cost</t>
  </si>
  <si>
    <t>Energya Power Cables</t>
  </si>
  <si>
    <t>A Company Of Energya Cables</t>
  </si>
  <si>
    <t>Financial Department</t>
  </si>
  <si>
    <t>Ser</t>
  </si>
  <si>
    <t>Description</t>
  </si>
  <si>
    <t>Qty</t>
  </si>
  <si>
    <t>Unit Cost</t>
  </si>
  <si>
    <t>GM</t>
  </si>
  <si>
    <t>CR01</t>
  </si>
  <si>
    <t>Copper Rod "8mm"</t>
  </si>
  <si>
    <t xml:space="preserve">Material Code </t>
  </si>
  <si>
    <t>Material description</t>
  </si>
  <si>
    <t>Currency</t>
  </si>
  <si>
    <t>USD</t>
  </si>
  <si>
    <t>Rate</t>
  </si>
  <si>
    <t>Unit Cost L.E</t>
  </si>
  <si>
    <t>PT04</t>
  </si>
  <si>
    <t xml:space="preserve">Poly Propylene Tape "40 X 0.125 mm"       </t>
  </si>
  <si>
    <t>Euro Rate</t>
  </si>
  <si>
    <t>Grand Total Ex-Work Cost</t>
  </si>
  <si>
    <t>Rate of Transfeer</t>
  </si>
  <si>
    <t>GBP Rate</t>
  </si>
  <si>
    <t>Aluminum USD</t>
  </si>
  <si>
    <t>Copper USD</t>
  </si>
  <si>
    <t>Shipping Cost :-</t>
  </si>
  <si>
    <t>Total Shipping Cost</t>
  </si>
  <si>
    <t>Grand Total Include Shipping Cost</t>
  </si>
  <si>
    <t>CU Weight KG/KM</t>
  </si>
  <si>
    <t>AL Weight KG/KM</t>
  </si>
  <si>
    <t>Operation Exp.</t>
  </si>
  <si>
    <t>SC01</t>
  </si>
  <si>
    <t>XL02</t>
  </si>
  <si>
    <t>XLPE Insulation For M.V Cable</t>
  </si>
  <si>
    <t>Thermosetting S.C - Bonded</t>
  </si>
  <si>
    <t>PS03</t>
  </si>
  <si>
    <t>WS03</t>
  </si>
  <si>
    <t>WN03</t>
  </si>
  <si>
    <t>Semi-conductive Water Blocking</t>
  </si>
  <si>
    <t>Non-Conductive Water Blocking</t>
  </si>
  <si>
    <t>Copper Tape 10x0.1mm</t>
  </si>
  <si>
    <t>TP01</t>
  </si>
  <si>
    <t>Chalk Powder</t>
  </si>
  <si>
    <t>Euro</t>
  </si>
  <si>
    <t xml:space="preserve">Thermosetting compound Low smoke halogen free </t>
  </si>
  <si>
    <t>YN01</t>
  </si>
  <si>
    <t>Water blocking yarn  3WY055 Tapes</t>
  </si>
  <si>
    <t>Laminted Aluminum  TAPE</t>
  </si>
  <si>
    <t xml:space="preserve">Color Master Batch for LSHF </t>
  </si>
  <si>
    <t>ML04</t>
  </si>
  <si>
    <t>SC02</t>
  </si>
  <si>
    <t>Medium density PE Sheath "Black"</t>
  </si>
  <si>
    <t>WS01</t>
  </si>
  <si>
    <t>Catalyst for PE insulation mat</t>
  </si>
  <si>
    <t>AR01</t>
  </si>
  <si>
    <t>Aluminum Rod H12 "9 mm"</t>
  </si>
  <si>
    <t>PT06</t>
  </si>
  <si>
    <t>Polyproplyene  TAPE "60 X 0.125 mm"</t>
  </si>
  <si>
    <t>MP04</t>
  </si>
  <si>
    <t>Color Master Batch for XLPE in</t>
  </si>
  <si>
    <t>MP03</t>
  </si>
  <si>
    <t>Thermosetting S.C - Strippable</t>
  </si>
  <si>
    <t>MP02</t>
  </si>
  <si>
    <t>MP07</t>
  </si>
  <si>
    <t>MP05</t>
  </si>
  <si>
    <t>GBP</t>
  </si>
  <si>
    <t>Doncaster</t>
  </si>
  <si>
    <t>Total</t>
  </si>
  <si>
    <t>Cont 40' ST</t>
  </si>
  <si>
    <t>Customer:         </t>
  </si>
  <si>
    <t xml:space="preserve"> CLEVELAND </t>
  </si>
  <si>
    <t>ELAND</t>
  </si>
  <si>
    <t xml:space="preserve">BATT </t>
  </si>
  <si>
    <t xml:space="preserve">PX KABEL </t>
  </si>
  <si>
    <t>XL08</t>
  </si>
  <si>
    <t>CX05</t>
  </si>
  <si>
    <t>XLPE Insulation ForBasec</t>
  </si>
  <si>
    <t xml:space="preserve">Delivered to:    DAP - </t>
  </si>
  <si>
    <t>ANIXTER</t>
  </si>
  <si>
    <t>Sheath Bedding</t>
  </si>
  <si>
    <t>No.of container 20</t>
  </si>
  <si>
    <t>No.of container 40</t>
  </si>
  <si>
    <t>Order Qty</t>
  </si>
  <si>
    <t>Cutting Length</t>
  </si>
  <si>
    <t xml:space="preserve">New Scrap % </t>
  </si>
  <si>
    <t>40m/(Total Order Quantity * 3)</t>
  </si>
  <si>
    <t>Cu</t>
  </si>
  <si>
    <t>CU</t>
  </si>
  <si>
    <t>110m of cable/(Total Order Qnty*3)</t>
  </si>
  <si>
    <t>XLPE</t>
  </si>
  <si>
    <t>SC</t>
  </si>
  <si>
    <t>CU Tape</t>
  </si>
  <si>
    <t>150kg/(Stndard Qnty kg/km)/(Total Order Qnty*3)</t>
  </si>
  <si>
    <t>AL Wire</t>
  </si>
  <si>
    <t>SWA</t>
  </si>
  <si>
    <t>Copper Tape</t>
  </si>
  <si>
    <t>CT</t>
  </si>
  <si>
    <t>Sheathing</t>
  </si>
  <si>
    <t>0.2% of total cable</t>
  </si>
  <si>
    <t>All other Materials</t>
  </si>
  <si>
    <t>30m of SWA/(Total Order Quantity)</t>
  </si>
  <si>
    <t>30m of AWA/(Total Order Quantity)</t>
  </si>
  <si>
    <t>Testing 2m+0.2% of all material/(Cutting Length)</t>
  </si>
  <si>
    <t>All Cable</t>
  </si>
  <si>
    <t>Shipping cost</t>
  </si>
  <si>
    <t>CU MT</t>
  </si>
  <si>
    <t>AL MT</t>
  </si>
  <si>
    <t>Size</t>
  </si>
  <si>
    <t>N.of drum</t>
  </si>
  <si>
    <t>length</t>
  </si>
  <si>
    <t>price</t>
  </si>
  <si>
    <t>total length</t>
  </si>
  <si>
    <t>Total value</t>
  </si>
  <si>
    <t>LE</t>
  </si>
  <si>
    <t>HB02</t>
  </si>
  <si>
    <t>HF27</t>
  </si>
  <si>
    <t>Study</t>
  </si>
  <si>
    <t>Qty/KM</t>
  </si>
  <si>
    <t>Scrap Qty</t>
  </si>
  <si>
    <t>Total Qty Required</t>
  </si>
  <si>
    <t xml:space="preserve">Cutting Length </t>
  </si>
  <si>
    <t>WN08</t>
  </si>
  <si>
    <t>WN75</t>
  </si>
  <si>
    <t>WN81</t>
  </si>
  <si>
    <t>Material Margin</t>
  </si>
  <si>
    <t>KM/Month</t>
  </si>
  <si>
    <t>WN35</t>
  </si>
  <si>
    <t>WN65</t>
  </si>
  <si>
    <t>TYPE</t>
  </si>
  <si>
    <t>RC03</t>
  </si>
  <si>
    <t>RIP CORD</t>
  </si>
  <si>
    <t>EPC REF:</t>
  </si>
  <si>
    <t xml:space="preserve"> </t>
  </si>
  <si>
    <t>Cu / XLPE / LSHF 0.6/1 kV 1X16 mm2 RMC IEC 60502-1</t>
  </si>
  <si>
    <t>10009487</t>
  </si>
  <si>
    <t>Cable Material Number</t>
  </si>
  <si>
    <t>HF30</t>
  </si>
  <si>
    <t>A-ECAP10</t>
  </si>
  <si>
    <t>Cu / XLPE / LSHF 0.6/1 kV 5X185 mm2 RMC IEC 60502-1</t>
  </si>
  <si>
    <t>MP06</t>
  </si>
  <si>
    <t>A-EC05</t>
  </si>
  <si>
    <t>10009546</t>
  </si>
  <si>
    <t>Al / XLPE / MDPE 18/30 kV CWs 1X300/25 mm2 RMC IEC 60502-2</t>
  </si>
  <si>
    <t>CuT02</t>
  </si>
  <si>
    <t>AFD155</t>
  </si>
  <si>
    <t>A-EC04</t>
  </si>
  <si>
    <t>10010347</t>
  </si>
  <si>
    <t>Cu / XLPE / MDPE 8.7/15 kV CWs 1X400/35 mm2 RMC IEC 60502-2</t>
  </si>
  <si>
    <t>AFD145</t>
  </si>
  <si>
    <t>10010439</t>
  </si>
  <si>
    <t>Centeral Bank of Egypt date 19-08-2026</t>
  </si>
  <si>
    <t>Al</t>
  </si>
  <si>
    <t>Material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</si>
</sst>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\ _ج_._م_._‏_-;\-* #,##0.00\ _ج_._م_._‏_-;_-* &quot;-&quot;??\ _ج_._م_._‏_-;_-@_-"/>
    <numFmt numFmtId="165" formatCode="_-* #,##0.00_-;_-* #,##0.00\-;_-* &quot;-&quot;??_-;_-@_-"/>
    <numFmt numFmtId="166" formatCode="_(* #,##0_);_(* \(#,##0\);_(* &quot;-&quot;??_);_(@_)"/>
    <numFmt numFmtId="167" formatCode="0.0%"/>
    <numFmt numFmtId="168" formatCode="_-* #,##0_-;_-* #,##0\-;_-* &quot;-&quot;??_-;_-@_-"/>
    <numFmt numFmtId="169" formatCode="_-* #,##0.000_-;_-* #,##0.000\-;_-* &quot;-&quot;??_-;_-@_-"/>
    <numFmt numFmtId="170" formatCode="[$GBP]\ #,##0.00"/>
    <numFmt numFmtId="171" formatCode="_-* #,##0.0000_-;_-* #,##0.0000\-;_-* &quot;-&quot;??_-;_-@_-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u/>
      <sz val="10"/>
      <name val="Arial"/>
      <family val="2"/>
    </font>
    <font>
      <b/>
      <sz val="11"/>
      <color indexed="56"/>
      <name val="Times New Roman"/>
      <family val="1"/>
    </font>
    <font>
      <b/>
      <u/>
      <sz val="11"/>
      <name val="Times New Roman"/>
      <family val="1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23">
    <xf numFmtId="0" fontId="0" fillId="0" borderId="0" xfId="0"/>
    <xf numFmtId="0" fontId="1" fillId="0" borderId="0" xfId="1"/>
    <xf numFmtId="0" fontId="2" fillId="0" borderId="0" xfId="1" applyFont="1" applyAlignment="1">
      <alignment horizontal="center" vertical="center"/>
    </xf>
    <xf numFmtId="165" fontId="1" fillId="0" borderId="0" xfId="1" applyNumberFormat="1"/>
    <xf numFmtId="49" fontId="4" fillId="2" borderId="0" xfId="1" applyNumberFormat="1" applyFont="1" applyFill="1" applyAlignment="1">
      <alignment horizontal="center"/>
    </xf>
    <xf numFmtId="43" fontId="2" fillId="2" borderId="8" xfId="2" applyFont="1" applyFill="1" applyBorder="1"/>
    <xf numFmtId="43" fontId="2" fillId="3" borderId="10" xfId="2" applyFont="1" applyFill="1" applyBorder="1"/>
    <xf numFmtId="166" fontId="2" fillId="3" borderId="9" xfId="2" applyNumberFormat="1" applyFont="1" applyFill="1" applyBorder="1"/>
    <xf numFmtId="43" fontId="2" fillId="3" borderId="4" xfId="2" applyFont="1" applyFill="1" applyBorder="1"/>
    <xf numFmtId="166" fontId="2" fillId="3" borderId="5" xfId="2" applyNumberFormat="1" applyFont="1" applyFill="1" applyBorder="1"/>
    <xf numFmtId="43" fontId="2" fillId="3" borderId="6" xfId="2" applyFont="1" applyFill="1" applyBorder="1" applyAlignment="1">
      <alignment horizontal="center"/>
    </xf>
    <xf numFmtId="167" fontId="2" fillId="3" borderId="7" xfId="4" applyNumberFormat="1" applyFont="1" applyFill="1" applyBorder="1"/>
    <xf numFmtId="0" fontId="5" fillId="0" borderId="0" xfId="0" applyFont="1" applyAlignment="1">
      <alignment vertical="center"/>
    </xf>
    <xf numFmtId="0" fontId="1" fillId="0" borderId="0" xfId="1" applyAlignment="1">
      <alignment horizont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165" fontId="1" fillId="0" borderId="0" xfId="1" applyNumberFormat="1" applyAlignment="1">
      <alignment horizontal="center"/>
    </xf>
    <xf numFmtId="168" fontId="1" fillId="0" borderId="0" xfId="1" applyNumberFormat="1"/>
    <xf numFmtId="9" fontId="1" fillId="0" borderId="0" xfId="4" applyFont="1" applyAlignment="1">
      <alignment horizontal="center"/>
    </xf>
    <xf numFmtId="164" fontId="1" fillId="0" borderId="0" xfId="1" applyNumberFormat="1" applyAlignment="1">
      <alignment horizontal="center"/>
    </xf>
    <xf numFmtId="164" fontId="1" fillId="0" borderId="0" xfId="1" applyNumberFormat="1"/>
    <xf numFmtId="9" fontId="2" fillId="0" borderId="0" xfId="1" applyNumberFormat="1" applyFont="1" applyAlignment="1">
      <alignment horizontal="center"/>
    </xf>
    <xf numFmtId="165" fontId="1" fillId="0" borderId="0" xfId="5" applyFont="1" applyAlignment="1">
      <alignment horizontal="center"/>
    </xf>
    <xf numFmtId="10" fontId="1" fillId="0" borderId="0" xfId="4" applyNumberFormat="1" applyFont="1" applyAlignment="1">
      <alignment horizontal="center"/>
    </xf>
    <xf numFmtId="10" fontId="1" fillId="0" borderId="0" xfId="1" applyNumberFormat="1" applyAlignment="1">
      <alignment horizontal="center"/>
    </xf>
    <xf numFmtId="165" fontId="2" fillId="2" borderId="8" xfId="5" applyFont="1" applyFill="1" applyBorder="1"/>
    <xf numFmtId="10" fontId="4" fillId="0" borderId="0" xfId="4" applyNumberFormat="1" applyFont="1" applyAlignment="1">
      <alignment horizontal="center"/>
    </xf>
    <xf numFmtId="0" fontId="2" fillId="0" borderId="8" xfId="1" applyFont="1" applyBorder="1" applyAlignment="1">
      <alignment horizontal="center"/>
    </xf>
    <xf numFmtId="168" fontId="2" fillId="0" borderId="8" xfId="5" applyNumberFormat="1" applyFont="1" applyBorder="1" applyAlignment="1">
      <alignment horizontal="center"/>
    </xf>
    <xf numFmtId="165" fontId="2" fillId="0" borderId="8" xfId="5" applyFont="1" applyBorder="1" applyAlignment="1">
      <alignment horizontal="center"/>
    </xf>
    <xf numFmtId="0" fontId="10" fillId="2" borderId="8" xfId="0" applyFont="1" applyFill="1" applyBorder="1" applyAlignment="1">
      <alignment vertical="center"/>
    </xf>
    <xf numFmtId="0" fontId="4" fillId="2" borderId="8" xfId="1" applyFont="1" applyFill="1" applyBorder="1" applyAlignment="1">
      <alignment horizontal="center"/>
    </xf>
    <xf numFmtId="0" fontId="4" fillId="2" borderId="8" xfId="1" applyFont="1" applyFill="1" applyBorder="1" applyAlignment="1">
      <alignment horizontal="center" vertical="center"/>
    </xf>
    <xf numFmtId="0" fontId="1" fillId="0" borderId="0" xfId="1" applyAlignment="1">
      <alignment horizontal="left"/>
    </xf>
    <xf numFmtId="168" fontId="1" fillId="0" borderId="0" xfId="5" applyNumberFormat="1" applyFont="1" applyAlignment="1">
      <alignment horizontal="left"/>
    </xf>
    <xf numFmtId="0" fontId="2" fillId="0" borderId="0" xfId="1" applyFont="1" applyAlignment="1">
      <alignment horizontal="left" vertical="center"/>
    </xf>
    <xf numFmtId="9" fontId="2" fillId="0" borderId="0" xfId="4" applyFont="1" applyAlignment="1">
      <alignment horizontal="left" vertical="center"/>
    </xf>
    <xf numFmtId="165" fontId="1" fillId="0" borderId="0" xfId="1" applyNumberFormat="1" applyAlignment="1">
      <alignment horizontal="left"/>
    </xf>
    <xf numFmtId="165" fontId="2" fillId="0" borderId="0" xfId="5" applyFont="1" applyAlignment="1">
      <alignment horizontal="left" vertical="center"/>
    </xf>
    <xf numFmtId="167" fontId="1" fillId="0" borderId="0" xfId="4" applyNumberFormat="1" applyFont="1" applyAlignment="1">
      <alignment horizontal="center"/>
    </xf>
    <xf numFmtId="0" fontId="2" fillId="0" borderId="0" xfId="1" applyFont="1" applyAlignment="1">
      <alignment horizontal="left"/>
    </xf>
    <xf numFmtId="0" fontId="1" fillId="0" borderId="8" xfId="1" applyBorder="1"/>
    <xf numFmtId="165" fontId="1" fillId="0" borderId="8" xfId="5" applyFont="1" applyBorder="1"/>
    <xf numFmtId="49" fontId="2" fillId="2" borderId="8" xfId="1" applyNumberFormat="1" applyFont="1" applyFill="1" applyBorder="1" applyAlignment="1">
      <alignment horizontal="center"/>
    </xf>
    <xf numFmtId="49" fontId="1" fillId="0" borderId="8" xfId="1" applyNumberFormat="1" applyBorder="1" applyAlignment="1">
      <alignment horizontal="left"/>
    </xf>
    <xf numFmtId="168" fontId="0" fillId="0" borderId="8" xfId="5" applyNumberFormat="1" applyFont="1" applyBorder="1" applyAlignment="1"/>
    <xf numFmtId="168" fontId="0" fillId="0" borderId="8" xfId="5" applyNumberFormat="1" applyFont="1" applyBorder="1" applyAlignment="1">
      <alignment horizontal="center"/>
    </xf>
    <xf numFmtId="165" fontId="0" fillId="0" borderId="8" xfId="5" applyFont="1" applyBorder="1" applyAlignment="1">
      <alignment horizontal="center"/>
    </xf>
    <xf numFmtId="0" fontId="1" fillId="0" borderId="8" xfId="1" applyBorder="1" applyAlignment="1">
      <alignment horizontal="left"/>
    </xf>
    <xf numFmtId="168" fontId="0" fillId="0" borderId="8" xfId="5" applyNumberFormat="1" applyFont="1" applyFill="1" applyBorder="1" applyAlignment="1">
      <alignment horizontal="center"/>
    </xf>
    <xf numFmtId="168" fontId="0" fillId="0" borderId="8" xfId="5" applyNumberFormat="1" applyFont="1" applyFill="1" applyBorder="1" applyAlignment="1">
      <alignment horizontal="left"/>
    </xf>
    <xf numFmtId="49" fontId="0" fillId="0" borderId="8" xfId="0" applyNumberForma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168" fontId="0" fillId="0" borderId="8" xfId="5" applyNumberFormat="1" applyFont="1" applyFill="1" applyBorder="1" applyAlignment="1"/>
    <xf numFmtId="165" fontId="0" fillId="0" borderId="8" xfId="5" applyFont="1" applyFill="1" applyBorder="1" applyAlignment="1">
      <alignment horizontal="center"/>
    </xf>
    <xf numFmtId="0" fontId="1" fillId="0" borderId="8" xfId="1" applyBorder="1" applyAlignment="1">
      <alignment vertical="center"/>
    </xf>
    <xf numFmtId="0" fontId="2" fillId="2" borderId="8" xfId="1" applyFont="1" applyFill="1" applyBorder="1"/>
    <xf numFmtId="166" fontId="2" fillId="2" borderId="8" xfId="2" applyNumberFormat="1" applyFont="1" applyFill="1" applyBorder="1"/>
    <xf numFmtId="9" fontId="2" fillId="2" borderId="8" xfId="4" applyFont="1" applyFill="1" applyBorder="1"/>
    <xf numFmtId="169" fontId="0" fillId="0" borderId="8" xfId="5" applyNumberFormat="1" applyFont="1" applyBorder="1" applyAlignment="1">
      <alignment horizontal="center"/>
    </xf>
    <xf numFmtId="166" fontId="0" fillId="0" borderId="8" xfId="2" applyNumberFormat="1" applyFont="1" applyBorder="1" applyAlignment="1">
      <alignment horizontal="center"/>
    </xf>
    <xf numFmtId="0" fontId="1" fillId="0" borderId="8" xfId="1" applyBorder="1" applyAlignment="1">
      <alignment horizontal="center"/>
    </xf>
    <xf numFmtId="9" fontId="0" fillId="0" borderId="8" xfId="4" applyFont="1" applyBorder="1" applyAlignment="1">
      <alignment horizontal="center"/>
    </xf>
    <xf numFmtId="166" fontId="1" fillId="0" borderId="8" xfId="1" applyNumberFormat="1" applyBorder="1" applyAlignment="1">
      <alignment horizontal="center"/>
    </xf>
    <xf numFmtId="168" fontId="1" fillId="0" borderId="8" xfId="5" applyNumberFormat="1" applyFont="1" applyBorder="1" applyAlignment="1">
      <alignment horizontal="center"/>
    </xf>
    <xf numFmtId="170" fontId="1" fillId="0" borderId="8" xfId="5" applyNumberFormat="1" applyFont="1" applyBorder="1" applyAlignment="1">
      <alignment horizontal="left"/>
    </xf>
    <xf numFmtId="165" fontId="1" fillId="0" borderId="8" xfId="5" applyFont="1" applyBorder="1" applyAlignment="1">
      <alignment horizontal="center" vertical="center"/>
    </xf>
    <xf numFmtId="0" fontId="4" fillId="4" borderId="8" xfId="1" applyFont="1" applyFill="1" applyBorder="1" applyAlignment="1">
      <alignment horizontal="center"/>
    </xf>
    <xf numFmtId="43" fontId="1" fillId="0" borderId="8" xfId="1" applyNumberFormat="1" applyBorder="1"/>
    <xf numFmtId="0" fontId="2" fillId="4" borderId="8" xfId="1" applyFont="1" applyFill="1" applyBorder="1" applyAlignment="1">
      <alignment horizontal="center"/>
    </xf>
    <xf numFmtId="43" fontId="2" fillId="4" borderId="8" xfId="1" applyNumberFormat="1" applyFont="1" applyFill="1" applyBorder="1" applyAlignment="1">
      <alignment horizontal="center"/>
    </xf>
    <xf numFmtId="165" fontId="2" fillId="4" borderId="8" xfId="1" applyNumberFormat="1" applyFont="1" applyFill="1" applyBorder="1" applyAlignment="1">
      <alignment horizontal="center"/>
    </xf>
    <xf numFmtId="168" fontId="1" fillId="0" borderId="8" xfId="5" applyNumberFormat="1" applyFont="1" applyBorder="1"/>
    <xf numFmtId="10" fontId="2" fillId="4" borderId="8" xfId="4" applyNumberFormat="1" applyFont="1" applyFill="1" applyBorder="1" applyAlignment="1">
      <alignment horizontal="center"/>
    </xf>
    <xf numFmtId="10" fontId="1" fillId="0" borderId="8" xfId="4" applyNumberFormat="1" applyFont="1" applyBorder="1"/>
    <xf numFmtId="49" fontId="8" fillId="0" borderId="8" xfId="6" applyNumberFormat="1" applyBorder="1" applyAlignment="1">
      <alignment horizontal="left"/>
    </xf>
    <xf numFmtId="0" fontId="1" fillId="2" borderId="8" xfId="1" applyFill="1" applyBorder="1" applyAlignment="1">
      <alignment horizontal="center"/>
    </xf>
    <xf numFmtId="0" fontId="2" fillId="2" borderId="8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 wrapText="1"/>
    </xf>
    <xf numFmtId="168" fontId="7" fillId="2" borderId="8" xfId="5" applyNumberFormat="1" applyFont="1" applyFill="1" applyBorder="1" applyAlignment="1">
      <alignment horizontal="center" vertical="center"/>
    </xf>
    <xf numFmtId="43" fontId="7" fillId="2" borderId="8" xfId="2" applyFont="1" applyFill="1" applyBorder="1" applyAlignment="1">
      <alignment horizontal="center" vertical="center"/>
    </xf>
    <xf numFmtId="166" fontId="7" fillId="2" borderId="8" xfId="2" applyNumberFormat="1" applyFont="1" applyFill="1" applyBorder="1" applyAlignment="1">
      <alignment horizontal="center" vertical="center"/>
    </xf>
    <xf numFmtId="9" fontId="7" fillId="2" borderId="8" xfId="4" applyFont="1" applyFill="1" applyBorder="1" applyAlignment="1">
      <alignment horizontal="center" vertical="center"/>
    </xf>
    <xf numFmtId="10" fontId="7" fillId="2" borderId="8" xfId="4" applyNumberFormat="1" applyFont="1" applyFill="1" applyBorder="1" applyAlignment="1">
      <alignment horizontal="center" vertical="center"/>
    </xf>
    <xf numFmtId="171" fontId="7" fillId="2" borderId="8" xfId="5" applyNumberFormat="1" applyFont="1" applyFill="1" applyBorder="1" applyAlignment="1">
      <alignment horizontal="center" vertical="center"/>
    </xf>
    <xf numFmtId="43" fontId="7" fillId="2" borderId="8" xfId="2" applyFont="1" applyFill="1" applyBorder="1" applyAlignment="1">
      <alignment vertical="center"/>
    </xf>
    <xf numFmtId="165" fontId="7" fillId="2" borderId="8" xfId="5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2" fontId="2" fillId="2" borderId="2" xfId="1" applyNumberFormat="1" applyFont="1" applyFill="1" applyBorder="1" applyAlignment="1">
      <alignment horizontal="center" vertical="center" wrapText="1"/>
    </xf>
    <xf numFmtId="2" fontId="2" fillId="2" borderId="3" xfId="1" applyNumberFormat="1" applyFont="1" applyFill="1" applyBorder="1" applyAlignment="1">
      <alignment horizontal="center" vertical="center" wrapText="1"/>
    </xf>
    <xf numFmtId="9" fontId="11" fillId="2" borderId="8" xfId="0" applyNumberFormat="1" applyFont="1" applyFill="1" applyBorder="1" applyAlignment="1">
      <alignment horizontal="center"/>
    </xf>
    <xf numFmtId="0" fontId="2" fillId="2" borderId="8" xfId="1" applyFont="1" applyFill="1" applyBorder="1" applyAlignment="1">
      <alignment horizontal="center"/>
    </xf>
    <xf numFmtId="43" fontId="2" fillId="2" borderId="8" xfId="1" applyNumberFormat="1" applyFont="1" applyFill="1" applyBorder="1" applyAlignment="1">
      <alignment horizontal="center"/>
    </xf>
    <xf numFmtId="165" fontId="2" fillId="2" borderId="8" xfId="1" applyNumberFormat="1" applyFont="1" applyFill="1" applyBorder="1" applyAlignment="1">
      <alignment horizontal="center"/>
    </xf>
    <xf numFmtId="10" fontId="2" fillId="2" borderId="8" xfId="4" applyNumberFormat="1" applyFont="1" applyFill="1" applyBorder="1" applyAlignment="1">
      <alignment horizontal="center"/>
    </xf>
    <xf numFmtId="168" fontId="0" fillId="0" borderId="8" xfId="5" applyNumberFormat="1" applyFont="1" applyBorder="1"/>
    <xf numFmtId="168" fontId="1" fillId="2" borderId="8" xfId="5" applyNumberFormat="1" applyFont="1" applyFill="1" applyBorder="1"/>
    <xf numFmtId="168" fontId="1" fillId="0" borderId="0" xfId="5" applyNumberFormat="1" applyFont="1"/>
    <xf numFmtId="168" fontId="2" fillId="2" borderId="8" xfId="5" applyNumberFormat="1" applyFont="1" applyFill="1" applyBorder="1"/>
    <xf numFmtId="0" fontId="1" fillId="0" borderId="0" xfId="1" applyAlignment="1">
      <alignment horizontal="center" vertical="center"/>
    </xf>
    <xf numFmtId="0" fontId="1" fillId="2" borderId="0" xfId="1" applyFill="1" applyAlignment="1">
      <alignment horizontal="center" vertical="center"/>
    </xf>
    <xf numFmtId="165" fontId="2" fillId="2" borderId="8" xfId="5" applyFont="1" applyFill="1" applyBorder="1" applyAlignment="1">
      <alignment horizontal="center"/>
    </xf>
    <xf numFmtId="9" fontId="2" fillId="2" borderId="8" xfId="4" applyFont="1" applyFill="1" applyBorder="1" applyAlignment="1">
      <alignment horizontal="center"/>
    </xf>
    <xf numFmtId="0" fontId="2" fillId="2" borderId="8" xfId="1" applyFont="1" applyFill="1" applyBorder="1" applyAlignment="1">
      <alignment horizontal="center" vertical="center"/>
    </xf>
    <xf numFmtId="170" fontId="7" fillId="2" borderId="8" xfId="2" applyNumberFormat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1" fillId="0" borderId="11" xfId="1" applyBorder="1"/>
    <xf numFmtId="165" fontId="1" fillId="0" borderId="11" xfId="4" applyNumberFormat="1" applyFont="1" applyBorder="1"/>
    <xf numFmtId="0" fontId="1" fillId="0" borderId="8" xfId="1" applyBorder="1" applyAlignment="1">
      <alignment horizontal="center" vertical="center"/>
    </xf>
    <xf numFmtId="43" fontId="0" fillId="0" borderId="8" xfId="2" applyFont="1" applyBorder="1"/>
    <xf numFmtId="9" fontId="0" fillId="0" borderId="8" xfId="3" applyFont="1" applyBorder="1" applyAlignment="1">
      <alignment horizontal="center"/>
    </xf>
    <xf numFmtId="166" fontId="0" fillId="0" borderId="8" xfId="2" applyNumberFormat="1" applyFont="1" applyBorder="1"/>
    <xf numFmtId="168" fontId="1" fillId="2" borderId="8" xfId="5" applyNumberFormat="1" applyFont="1" applyFill="1" applyBorder="1" applyAlignment="1">
      <alignment horizontal="center" vertical="center"/>
    </xf>
    <xf numFmtId="165" fontId="0" fillId="0" borderId="8" xfId="5" applyFont="1" applyBorder="1" applyAlignment="1">
      <alignment horizontal="center" vertical="center"/>
    </xf>
    <xf numFmtId="166" fontId="0" fillId="2" borderId="8" xfId="2" applyNumberFormat="1" applyFont="1" applyFill="1" applyBorder="1" applyAlignment="1">
      <alignment horizontal="center" vertical="center"/>
    </xf>
    <xf numFmtId="166" fontId="0" fillId="0" borderId="8" xfId="2" applyNumberFormat="1" applyFont="1" applyBorder="1" applyAlignment="1">
      <alignment horizontal="center" vertical="center"/>
    </xf>
    <xf numFmtId="9" fontId="0" fillId="0" borderId="8" xfId="4" applyFont="1" applyBorder="1" applyAlignment="1">
      <alignment horizontal="center" vertical="center"/>
    </xf>
    <xf numFmtId="0" fontId="2" fillId="3" borderId="8" xfId="1" applyFont="1" applyFill="1" applyBorder="1" applyAlignment="1">
      <alignment horizontal="center"/>
    </xf>
    <xf numFmtId="166" fontId="2" fillId="3" borderId="8" xfId="2" applyNumberFormat="1" applyFont="1" applyFill="1" applyBorder="1"/>
    <xf numFmtId="9" fontId="2" fillId="3" borderId="8" xfId="4" applyFont="1" applyFill="1" applyBorder="1" applyAlignment="1">
      <alignment horizontal="center"/>
    </xf>
    <xf numFmtId="0" fontId="1" fillId="0" borderId="8" xfId="1" applyBorder="1" applyAlignment="1">
      <alignment horizontal="center"/>
    </xf>
    <xf numFmtId="168" fontId="0" fillId="0" borderId="8" xfId="2" applyNumberFormat="1" applyFont="1" applyBorder="1"/>
    <xf numFmtId="166" fontId="2" fillId="3" borderId="8" xfId="1" applyNumberFormat="1" applyFont="1" applyFill="1" applyBorder="1"/>
  </cellXfs>
  <cellStyles count="7">
    <cellStyle name="Comma" xfId="5" builtinId="3"/>
    <cellStyle name="Comma 2" xfId="2" xr:uid="{00000000-0005-0000-0000-000001000000}"/>
    <cellStyle name="Hyperlink" xfId="6" builtinId="8"/>
    <cellStyle name="Normal" xfId="0" builtinId="0"/>
    <cellStyle name="Normal 2" xfId="1" xr:uid="{00000000-0005-0000-0000-000004000000}"/>
    <cellStyle name="Percent" xfId="4" builtinId="5"/>
    <cellStyle name="Percent 2" xfId="3" xr:uid="{00000000-0005-0000-0000-00000600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U29"/>
  <sheetViews>
    <sheetView showGridLines="0" tabSelected="1" zoomScale="90" zoomScaleNormal="90" workbookViewId="0">
      <pane ySplit="12" topLeftCell="A13" activePane="bottomLeft" state="frozen"/>
      <selection pane="bottomLeft" activeCell="H6" sqref="H6"/>
    </sheetView>
  </sheetViews>
  <sheetFormatPr defaultColWidth="9.109375" defaultRowHeight="13.2" x14ac:dyDescent="0.25"/>
  <cols>
    <col min="1" max="1" width="1.6640625" style="13" customWidth="1"/>
    <col min="2" max="2" width="6.44140625" style="13" customWidth="1"/>
    <col min="3" max="3" width="60.5546875" style="13" bestFit="1" customWidth="1"/>
    <col min="4" max="4" width="10" style="13" bestFit="1" customWidth="1"/>
    <col min="5" max="5" width="10.109375" style="13" bestFit="1" customWidth="1"/>
    <col min="6" max="6" width="14.109375" style="13" customWidth="1"/>
    <col min="7" max="7" width="14.88671875" style="13" bestFit="1" customWidth="1"/>
    <col min="8" max="8" width="13.6640625" style="13" customWidth="1"/>
    <col min="9" max="9" width="18.88671875" style="13" bestFit="1" customWidth="1"/>
    <col min="10" max="10" width="20" style="13" bestFit="1" customWidth="1"/>
    <col min="11" max="11" width="18.33203125" style="13" bestFit="1" customWidth="1"/>
    <col min="12" max="12" width="19.33203125" style="13" bestFit="1" customWidth="1"/>
    <col min="13" max="13" width="10.88671875" style="13" customWidth="1"/>
    <col min="14" max="14" width="10.33203125" style="13" customWidth="1"/>
    <col min="15" max="15" width="1.109375" style="13" customWidth="1"/>
    <col min="16" max="16" width="9.44140625" style="13" customWidth="1"/>
    <col min="17" max="17" width="8.44140625" style="13" customWidth="1"/>
    <col min="18" max="18" width="1.33203125" style="13" customWidth="1"/>
    <col min="19" max="19" width="15.44140625" style="13" bestFit="1" customWidth="1"/>
    <col min="20" max="20" width="13.33203125" style="13" bestFit="1" customWidth="1"/>
    <col min="21" max="21" width="13.109375" style="13" customWidth="1"/>
    <col min="22" max="16384" width="9.109375" style="13"/>
  </cols>
  <sheetData>
    <row r="1" spans="2:21" ht="13.8" x14ac:dyDescent="0.25">
      <c r="B1" s="12" t="s">
        <v>19</v>
      </c>
    </row>
    <row r="2" spans="2:21" ht="15" customHeight="1" x14ac:dyDescent="0.25">
      <c r="B2" s="12" t="s">
        <v>20</v>
      </c>
    </row>
    <row r="3" spans="2:21" ht="13.8" x14ac:dyDescent="0.25">
      <c r="B3" s="12" t="s">
        <v>21</v>
      </c>
      <c r="S3" s="76" t="s">
        <v>88</v>
      </c>
      <c r="T3" s="76" t="s">
        <v>32</v>
      </c>
    </row>
    <row r="4" spans="2:21" ht="13.8" x14ac:dyDescent="0.25">
      <c r="B4" s="14" t="s">
        <v>149</v>
      </c>
      <c r="J4" s="105" t="s">
        <v>168</v>
      </c>
      <c r="K4" s="105"/>
      <c r="S4" s="76" t="s">
        <v>89</v>
      </c>
      <c r="T4" s="76" t="s">
        <v>83</v>
      </c>
    </row>
    <row r="5" spans="2:21" x14ac:dyDescent="0.25">
      <c r="J5" s="56" t="s">
        <v>8</v>
      </c>
      <c r="K5" s="25">
        <v>50.658099999999997</v>
      </c>
      <c r="S5" s="76" t="s">
        <v>90</v>
      </c>
      <c r="T5" s="76" t="s">
        <v>61</v>
      </c>
    </row>
    <row r="6" spans="2:21" x14ac:dyDescent="0.25">
      <c r="C6" s="56" t="str">
        <f>IF($H$10="USD","Aluminum USD",IF($H$10="GBP","Aluminum GBP","Aluminum Euro"))</f>
        <v>Aluminum Euro</v>
      </c>
      <c r="D6" s="57">
        <v>2800</v>
      </c>
      <c r="I6" s="16"/>
      <c r="J6" s="56" t="s">
        <v>37</v>
      </c>
      <c r="K6" s="25">
        <v>58.616399999999999</v>
      </c>
      <c r="S6" s="76" t="s">
        <v>91</v>
      </c>
      <c r="T6" s="76"/>
    </row>
    <row r="7" spans="2:21" x14ac:dyDescent="0.25">
      <c r="C7" s="56" t="str">
        <f>IF($H$10="USD","Copper USD",IF($H$10="GBP","Copper GBP","Copper Euro"))</f>
        <v>Copper Euro</v>
      </c>
      <c r="D7" s="57">
        <v>12500</v>
      </c>
      <c r="I7" s="19"/>
      <c r="J7" s="56" t="s">
        <v>40</v>
      </c>
      <c r="K7" s="25">
        <v>68.510000000000005</v>
      </c>
      <c r="S7" s="76" t="s">
        <v>96</v>
      </c>
      <c r="T7" s="76"/>
    </row>
    <row r="8" spans="2:21" x14ac:dyDescent="0.25">
      <c r="C8" s="56" t="s">
        <v>39</v>
      </c>
      <c r="D8" s="25">
        <f>IF(H10="USD",1,IF(H10="GBP",K7/K5,K6/K5))</f>
        <v>1.1570982725368697</v>
      </c>
      <c r="J8" s="56" t="s">
        <v>48</v>
      </c>
      <c r="K8" s="58">
        <v>0</v>
      </c>
    </row>
    <row r="9" spans="2:21" x14ac:dyDescent="0.25">
      <c r="C9" s="56" t="s">
        <v>41</v>
      </c>
      <c r="D9" s="57">
        <f>D6*$D$8</f>
        <v>3239.8751631032351</v>
      </c>
      <c r="J9" s="56" t="s">
        <v>14</v>
      </c>
      <c r="K9" s="58">
        <v>0</v>
      </c>
    </row>
    <row r="10" spans="2:21" x14ac:dyDescent="0.25">
      <c r="C10" s="56" t="s">
        <v>42</v>
      </c>
      <c r="D10" s="57">
        <f>($D$7)*$D$8</f>
        <v>14463.72840671087</v>
      </c>
      <c r="H10" s="31" t="s">
        <v>61</v>
      </c>
      <c r="I10" s="21">
        <v>0.06</v>
      </c>
      <c r="J10" s="56" t="s">
        <v>16</v>
      </c>
      <c r="K10" s="58">
        <v>0</v>
      </c>
    </row>
    <row r="11" spans="2:21" ht="5.25" customHeight="1" x14ac:dyDescent="0.25"/>
    <row r="12" spans="2:21" s="2" customFormat="1" ht="26.4" x14ac:dyDescent="0.3">
      <c r="B12" s="77" t="s">
        <v>22</v>
      </c>
      <c r="C12" s="77" t="s">
        <v>23</v>
      </c>
      <c r="D12" s="77" t="s">
        <v>24</v>
      </c>
      <c r="E12" s="77" t="s">
        <v>146</v>
      </c>
      <c r="F12" s="78" t="s">
        <v>170</v>
      </c>
      <c r="G12" s="78" t="s">
        <v>46</v>
      </c>
      <c r="H12" s="78" t="s">
        <v>47</v>
      </c>
      <c r="I12" s="78" t="str">
        <f>IF($H$10="USD","Unit Price/USD",IF($H$10="GBP","Unit Price/GBP","Unit Price/Euro"))</f>
        <v>Unit Price/Euro</v>
      </c>
      <c r="J12" s="78" t="str">
        <f>IF($H$10="USD","Total Value USD",IF($H$10="GBP","Total Value GBP","Total Value Euro"))</f>
        <v>Total Value Euro</v>
      </c>
      <c r="K12" s="78" t="str">
        <f>IF($H$10="USD","Unit Cost/USD",IF($H$10="GBP","Unit Cost/GBP","Unit Cost/Euro"))</f>
        <v>Unit Cost/Euro</v>
      </c>
      <c r="L12" s="78" t="str">
        <f>IF($H$10="USD","Total Cost/USD",IF($H$10="GBP","Total Cost/GBP","Total Cost/Euro"))</f>
        <v>Total Cost/Euro</v>
      </c>
      <c r="M12" s="78" t="s">
        <v>26</v>
      </c>
      <c r="N12" s="78" t="s">
        <v>4</v>
      </c>
      <c r="P12" s="78" t="s">
        <v>123</v>
      </c>
      <c r="Q12" s="78" t="s">
        <v>124</v>
      </c>
      <c r="S12" s="78" t="s">
        <v>142</v>
      </c>
      <c r="T12" s="78" t="s">
        <v>143</v>
      </c>
      <c r="U12" s="78" t="s">
        <v>85</v>
      </c>
    </row>
    <row r="13" spans="2:21" ht="14.4" x14ac:dyDescent="0.3">
      <c r="B13" s="61">
        <v>1</v>
      </c>
      <c r="C13" s="75" t="str">
        <f>'1'!D6</f>
        <v>Cu / XLPE / LSHF 0.6/1 kV 1X16 mm2 RMC IEC 60502-1</v>
      </c>
      <c r="D13" s="59">
        <v>1</v>
      </c>
      <c r="E13" s="59" t="str">
        <f>+'1'!$B$9</f>
        <v>CU</v>
      </c>
      <c r="F13" s="59" t="str">
        <f>+'1'!K4</f>
        <v>10009487</v>
      </c>
      <c r="G13" s="46" cm="1">
        <f t="array" aca="1" ref="G13" ca="1">SUM(
  SUMIF(
    INDIRECT("'"&amp;(ROW()-12)&amp;"'!$C$9:$C$26"),
    {"cr01","ct02","CR02","CT04","CT05","CT01","ct03","ct06","ct13"},
    INDIRECT("'"&amp;(ROW()-12)&amp;"'!$E$9:$E$26")
  )
)</f>
        <v>135.22999999999999</v>
      </c>
      <c r="H13" s="46" cm="1">
        <f t="array" aca="1" ref="H13" ca="1">SUM(
  SUMIF(
    INDIRECT("'"&amp;(ROW()-12)&amp;"'!$C$9:$C$26"),
    {"AR01","AR08","AR10","AR02"},
    INDIRECT("'"&amp;(ROW()-12)&amp;"'!$E$9:$E$26")
  )
)</f>
        <v>0</v>
      </c>
      <c r="I13" s="47">
        <f>K13/(100%-$I$10)</f>
        <v>2379.82200201858</v>
      </c>
      <c r="J13" s="47">
        <f t="shared" ref="J13:J14" si="0">+I13*D13</f>
        <v>2379.82200201858</v>
      </c>
      <c r="K13" s="46">
        <f>+'1'!K28</f>
        <v>2237.032681897465</v>
      </c>
      <c r="L13" s="60">
        <f t="shared" ref="L13:L14" si="1">+K13*D13</f>
        <v>2237.032681897465</v>
      </c>
      <c r="M13" s="60">
        <f t="shared" ref="M13:M14" si="2">J13-L13</f>
        <v>142.789320121115</v>
      </c>
      <c r="N13" s="62">
        <f t="shared" ref="N13:N19" si="3">M13/J13</f>
        <v>6.0000000000000081E-2</v>
      </c>
      <c r="P13" s="63">
        <f ca="1">+D13*G13/1000</f>
        <v>0.13522999999999999</v>
      </c>
      <c r="Q13" s="64">
        <f ca="1">D13*H13/1000</f>
        <v>0</v>
      </c>
      <c r="S13" s="63">
        <f>I13-K13</f>
        <v>142.789320121115</v>
      </c>
      <c r="T13" s="61"/>
      <c r="U13" s="63">
        <f>T13*S13</f>
        <v>0</v>
      </c>
    </row>
    <row r="14" spans="2:21" ht="14.4" x14ac:dyDescent="0.3">
      <c r="B14" s="61">
        <v>2</v>
      </c>
      <c r="C14" s="75" t="str">
        <f>'2'!D6</f>
        <v>Cu / XLPE / LSHF 0.6/1 kV 5X185 mm2 RMC IEC 60502-1</v>
      </c>
      <c r="D14" s="59">
        <v>1</v>
      </c>
      <c r="E14" s="59" t="str">
        <f>+'2'!$B$9</f>
        <v>CU</v>
      </c>
      <c r="F14" s="59" t="str">
        <f>+'2'!K4</f>
        <v>10009546</v>
      </c>
      <c r="G14" s="46" cm="1">
        <f t="array" aca="1" ref="G14" ca="1">SUM(
  SUMIF(
    INDIRECT("'"&amp;(ROW()-12)&amp;"'!$C$9:$C$26"),
    {"cr01","ct02","CR02","CT04","CT05","CT01","ct03","ct06","ct13"},
    INDIRECT("'"&amp;(ROW()-12)&amp;"'!$E$9:$E$26")
  )
)</f>
        <v>8217.4500000000007</v>
      </c>
      <c r="H14" s="46" cm="1">
        <f t="array" aca="1" ref="H14" ca="1">SUM(
  SUMIF(
    INDIRECT("'"&amp;(ROW()-12)&amp;"'!$C$9:$C$26"),
    {"AR01","AR08","AR10","AR02"},
    INDIRECT("'"&amp;(ROW()-12)&amp;"'!$E$9:$E$26")
  )
)</f>
        <v>0</v>
      </c>
      <c r="I14" s="47">
        <f>K14/(100%-$I$10)</f>
        <v>121195.43192654525</v>
      </c>
      <c r="J14" s="47">
        <f t="shared" si="0"/>
        <v>121195.43192654525</v>
      </c>
      <c r="K14" s="46">
        <f>+'2'!$K$32</f>
        <v>113923.70601095253</v>
      </c>
      <c r="L14" s="60">
        <f t="shared" si="1"/>
        <v>113923.70601095253</v>
      </c>
      <c r="M14" s="60">
        <f t="shared" si="2"/>
        <v>7271.7259155927168</v>
      </c>
      <c r="N14" s="62">
        <f t="shared" si="3"/>
        <v>6.0000000000000012E-2</v>
      </c>
      <c r="P14" s="63">
        <f t="shared" ref="P14:P16" ca="1" si="4">+D14*G14/1000</f>
        <v>8.2174500000000013</v>
      </c>
      <c r="Q14" s="64">
        <f t="shared" ref="Q14:Q16" ca="1" si="5">D14*H14/1000</f>
        <v>0</v>
      </c>
      <c r="S14" s="63">
        <f t="shared" ref="S14:S16" si="6">I14-K14</f>
        <v>7271.7259155927168</v>
      </c>
      <c r="T14" s="61"/>
      <c r="U14" s="63">
        <f>T14*S14</f>
        <v>0</v>
      </c>
    </row>
    <row r="15" spans="2:21" ht="14.4" x14ac:dyDescent="0.3">
      <c r="B15" s="61">
        <v>3</v>
      </c>
      <c r="C15" s="75" t="str">
        <f>'3'!D6</f>
        <v>Al / XLPE / MDPE 18/30 kV CWs 1X300/25 mm2 RMC IEC 60502-2</v>
      </c>
      <c r="D15" s="59">
        <v>1</v>
      </c>
      <c r="E15" s="59" t="str">
        <f>+'3'!$B$9</f>
        <v>Al</v>
      </c>
      <c r="F15" s="59" t="str">
        <f>+'3'!K4</f>
        <v>10010347</v>
      </c>
      <c r="G15" s="46" cm="1">
        <f t="array" aca="1" ref="G15" ca="1">SUM(
  SUMIF(
    INDIRECT("'"&amp;(ROW()-12)&amp;"'!$C$9:$C$26"),
    {"cr01","ct02","CR02","CT04","CT05","CT01","ct03","ct06","ct13"},
    INDIRECT("'"&amp;(ROW()-12)&amp;"'!$E$9:$E$26")
  )
)</f>
        <v>0</v>
      </c>
      <c r="H15" s="46" cm="1">
        <f t="array" aca="1" ref="H15" ca="1">SUM(
  SUMIF(
    INDIRECT("'"&amp;(ROW()-12)&amp;"'!$C$9:$C$26"),
    {"AR01","AR08","AR10","AR02"},
    INDIRECT("'"&amp;(ROW()-12)&amp;"'!$E$9:$E$26")
  )
)</f>
        <v>788.83</v>
      </c>
      <c r="I15" s="47">
        <f t="shared" ref="I15:I16" si="7">K15/(100%-$I$10)</f>
        <v>6998.2385067929936</v>
      </c>
      <c r="J15" s="47">
        <f t="shared" ref="J15:J16" si="8">+I15*D15</f>
        <v>6998.2385067929936</v>
      </c>
      <c r="K15" s="46">
        <f>+'3'!$K$32</f>
        <v>6578.3441963854139</v>
      </c>
      <c r="L15" s="60">
        <f t="shared" ref="L15:L16" si="9">+K15*D15</f>
        <v>6578.3441963854139</v>
      </c>
      <c r="M15" s="60">
        <f t="shared" ref="M15:M16" si="10">J15-L15</f>
        <v>419.89431040757972</v>
      </c>
      <c r="N15" s="62">
        <f t="shared" ref="N15:N16" si="11">M15/J15</f>
        <v>6.0000000000000019E-2</v>
      </c>
      <c r="P15" s="63">
        <f t="shared" ca="1" si="4"/>
        <v>0</v>
      </c>
      <c r="Q15" s="64">
        <f t="shared" ca="1" si="5"/>
        <v>0.78883000000000003</v>
      </c>
      <c r="S15" s="63">
        <f t="shared" si="6"/>
        <v>419.89431040757972</v>
      </c>
      <c r="T15" s="61"/>
      <c r="U15" s="63">
        <f>T15*S15</f>
        <v>0</v>
      </c>
    </row>
    <row r="16" spans="2:21" ht="14.4" x14ac:dyDescent="0.3">
      <c r="B16" s="61">
        <v>4</v>
      </c>
      <c r="C16" s="75" t="str">
        <f>'4'!D6</f>
        <v>Cu / XLPE / MDPE 8.7/15 kV CWs 1X400/35 mm2 RMC IEC 60502-2</v>
      </c>
      <c r="D16" s="59">
        <v>1</v>
      </c>
      <c r="E16" s="59" t="str">
        <f>+'4'!$B$9</f>
        <v>CU</v>
      </c>
      <c r="F16" s="59" t="str">
        <f>+'4'!K4</f>
        <v>10010439</v>
      </c>
      <c r="G16" s="46">
        <f>+'4'!E9+'4'!E19</f>
        <v>3700.36</v>
      </c>
      <c r="H16" s="46" cm="1">
        <f t="array" aca="1" ref="H16" ca="1">SUM(
  SUMIF(
    INDIRECT("'"&amp;(ROW()-12)&amp;"'!$C$9:$C$26"),
    {"AR01","AR08","AR10","AR02"},
    INDIRECT("'"&amp;(ROW()-12)&amp;"'!$E$9:$E$26")
  )
)</f>
        <v>0</v>
      </c>
      <c r="I16" s="47">
        <f t="shared" si="7"/>
        <v>62186.116458758341</v>
      </c>
      <c r="J16" s="47">
        <f t="shared" si="8"/>
        <v>62186.116458758341</v>
      </c>
      <c r="K16" s="46">
        <f>+'4'!$K$32</f>
        <v>58454.949471232838</v>
      </c>
      <c r="L16" s="60">
        <f t="shared" si="9"/>
        <v>58454.949471232838</v>
      </c>
      <c r="M16" s="60">
        <f t="shared" si="10"/>
        <v>3731.1669875255029</v>
      </c>
      <c r="N16" s="62">
        <f t="shared" si="11"/>
        <v>6.0000000000000039E-2</v>
      </c>
      <c r="P16" s="63">
        <f t="shared" si="4"/>
        <v>3.7003600000000003</v>
      </c>
      <c r="Q16" s="64">
        <f t="shared" ca="1" si="5"/>
        <v>0</v>
      </c>
      <c r="S16" s="63">
        <f t="shared" si="6"/>
        <v>3731.1669875255029</v>
      </c>
      <c r="T16" s="61"/>
      <c r="U16" s="63">
        <f t="shared" ref="U16" si="12">T16*S16</f>
        <v>0</v>
      </c>
    </row>
    <row r="17" spans="2:17" s="2" customFormat="1" ht="14.4" x14ac:dyDescent="0.3">
      <c r="B17" s="103" t="s">
        <v>38</v>
      </c>
      <c r="C17" s="103"/>
      <c r="D17" s="103"/>
      <c r="E17" s="103"/>
      <c r="F17" s="103"/>
      <c r="G17" s="103"/>
      <c r="H17" s="103"/>
      <c r="I17" s="103"/>
      <c r="J17" s="86">
        <f>SUM(J13:J16)</f>
        <v>192759.60889411517</v>
      </c>
      <c r="K17" s="80"/>
      <c r="L17" s="79">
        <f>SUM(L13:L16)</f>
        <v>181194.03236046826</v>
      </c>
      <c r="M17" s="81">
        <f>SUM(M13:M16)</f>
        <v>11565.576533646916</v>
      </c>
      <c r="N17" s="82">
        <f t="shared" si="3"/>
        <v>6.0000000000000032E-2</v>
      </c>
      <c r="P17" s="84">
        <f ca="1">SUM(P13:P16)</f>
        <v>12.053040000000001</v>
      </c>
      <c r="Q17" s="84">
        <f ca="1">SUM(Q13:Q16)</f>
        <v>0.78883000000000003</v>
      </c>
    </row>
    <row r="18" spans="2:17" s="2" customFormat="1" ht="14.4" x14ac:dyDescent="0.3">
      <c r="B18" s="103" t="s">
        <v>122</v>
      </c>
      <c r="C18" s="103"/>
      <c r="D18" s="103"/>
      <c r="E18" s="103"/>
      <c r="F18" s="103"/>
      <c r="G18" s="103"/>
      <c r="H18" s="103"/>
      <c r="I18" s="103"/>
      <c r="J18" s="86">
        <f>+L23</f>
        <v>3603.0867302724669</v>
      </c>
      <c r="K18" s="80"/>
      <c r="L18" s="79">
        <f>+L23</f>
        <v>3603.0867302724669</v>
      </c>
      <c r="M18" s="81">
        <f>J18-L18</f>
        <v>0</v>
      </c>
      <c r="N18" s="82">
        <f t="shared" si="3"/>
        <v>0</v>
      </c>
    </row>
    <row r="19" spans="2:17" s="2" customFormat="1" ht="14.4" x14ac:dyDescent="0.3">
      <c r="B19" s="103" t="s">
        <v>45</v>
      </c>
      <c r="C19" s="103"/>
      <c r="D19" s="103"/>
      <c r="E19" s="103"/>
      <c r="F19" s="103"/>
      <c r="G19" s="103"/>
      <c r="H19" s="103"/>
      <c r="I19" s="103"/>
      <c r="J19" s="86">
        <f>SUM(J17:J18)</f>
        <v>196362.69562438765</v>
      </c>
      <c r="K19" s="80"/>
      <c r="L19" s="79">
        <f>+L17+L23</f>
        <v>184797.11909074074</v>
      </c>
      <c r="M19" s="81">
        <f>+J19-L19</f>
        <v>11565.576533646905</v>
      </c>
      <c r="N19" s="83">
        <f t="shared" si="3"/>
        <v>5.8899051557991015E-2</v>
      </c>
    </row>
    <row r="20" spans="2:17" ht="5.25" customHeight="1" x14ac:dyDescent="0.25"/>
    <row r="21" spans="2:17" ht="14.4" x14ac:dyDescent="0.25">
      <c r="C21" s="30" t="s">
        <v>87</v>
      </c>
      <c r="D21" s="31" t="s">
        <v>89</v>
      </c>
      <c r="J21" s="85" t="s">
        <v>43</v>
      </c>
      <c r="K21" s="85"/>
      <c r="L21" s="85"/>
    </row>
    <row r="22" spans="2:17" ht="14.4" x14ac:dyDescent="0.25">
      <c r="C22" s="30" t="s">
        <v>95</v>
      </c>
      <c r="D22" s="32" t="s">
        <v>84</v>
      </c>
      <c r="J22" s="65" t="str">
        <f>IF(D22="FOB","FOB COST",IF(D22="EX WORK","EX WORK COST","DAP COST"))</f>
        <v>DAP COST</v>
      </c>
      <c r="K22" s="66">
        <f>L26</f>
        <v>3024.8079035901214</v>
      </c>
      <c r="L22" s="66">
        <f>IF(D22="FOB",K22,IF(D22="EX WORK",K22,+K22+(J17*0.003)))</f>
        <v>3603.0867302724669</v>
      </c>
      <c r="M22" s="26">
        <f>L22/J17</f>
        <v>1.8692125134221867E-2</v>
      </c>
    </row>
    <row r="23" spans="2:17" ht="14.4" x14ac:dyDescent="0.25">
      <c r="C23" s="30" t="s">
        <v>98</v>
      </c>
      <c r="D23" s="32">
        <v>0</v>
      </c>
      <c r="J23" s="104" t="s">
        <v>44</v>
      </c>
      <c r="K23" s="104"/>
      <c r="L23" s="86">
        <f>+L22</f>
        <v>3603.0867302724669</v>
      </c>
      <c r="M23" s="18"/>
    </row>
    <row r="24" spans="2:17" ht="14.4" x14ac:dyDescent="0.25">
      <c r="C24" s="30" t="s">
        <v>99</v>
      </c>
      <c r="D24" s="32">
        <f>+J25</f>
        <v>1</v>
      </c>
      <c r="J24" s="22"/>
      <c r="L24" s="22"/>
    </row>
    <row r="25" spans="2:17" x14ac:dyDescent="0.25">
      <c r="I25" s="27" t="s">
        <v>86</v>
      </c>
      <c r="J25" s="27">
        <v>1</v>
      </c>
      <c r="K25" s="28">
        <f>3500/D8</f>
        <v>3024.8079035901214</v>
      </c>
      <c r="L25" s="29">
        <f>J25*K25</f>
        <v>3024.8079035901214</v>
      </c>
    </row>
    <row r="26" spans="2:17" x14ac:dyDescent="0.25">
      <c r="I26" s="102" t="s">
        <v>85</v>
      </c>
      <c r="J26" s="102"/>
      <c r="K26" s="102"/>
      <c r="L26" s="101">
        <f>SUM(L25:L25)</f>
        <v>3024.8079035901214</v>
      </c>
    </row>
    <row r="27" spans="2:17" x14ac:dyDescent="0.25">
      <c r="I27" s="22"/>
      <c r="J27" s="23"/>
      <c r="K27" s="23"/>
    </row>
    <row r="28" spans="2:17" x14ac:dyDescent="0.25">
      <c r="I28" s="19"/>
    </row>
    <row r="29" spans="2:17" x14ac:dyDescent="0.25">
      <c r="K29" s="24"/>
    </row>
  </sheetData>
  <autoFilter ref="B12:N17" xr:uid="{00000000-0009-0000-0000-000000000000}"/>
  <mergeCells count="6">
    <mergeCell ref="I26:K26"/>
    <mergeCell ref="B17:I17"/>
    <mergeCell ref="J23:K23"/>
    <mergeCell ref="B19:I19"/>
    <mergeCell ref="J4:K4"/>
    <mergeCell ref="B18:I18"/>
  </mergeCells>
  <conditionalFormatting sqref="B1:B4">
    <cfRule type="cellIs" dxfId="8" priority="1" stopIfTrue="1" operator="lessThan">
      <formula>0</formula>
    </cfRule>
  </conditionalFormatting>
  <dataValidations count="3">
    <dataValidation type="list" allowBlank="1" showInputMessage="1" showErrorMessage="1" sqref="D21" xr:uid="{00000000-0002-0000-0000-000001000000}">
      <formula1>$S$3:$S$7</formula1>
    </dataValidation>
    <dataValidation type="list" allowBlank="1" showInputMessage="1" showErrorMessage="1" sqref="H10" xr:uid="{00000000-0002-0000-0000-000000000000}">
      <formula1>$T$3:$T$5</formula1>
    </dataValidation>
    <dataValidation type="list" allowBlank="1" showInputMessage="1" showErrorMessage="1" sqref="D22" xr:uid="{00000000-0002-0000-0000-000002000000}">
      <formula1>#REF!</formula1>
    </dataValidation>
  </dataValidations>
  <pageMargins left="0.70866141732283472" right="0.70866141732283472" top="0.74803149606299213" bottom="0.74803149606299213" header="0.31496062992125984" footer="0.31496062992125984"/>
  <pageSetup paperSize="9" scale="72" orientation="landscape" r:id="rId1"/>
  <ignoredErrors>
    <ignoredError sqref="N19 J13 L13:N13 N17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I42"/>
  <sheetViews>
    <sheetView showGridLines="0" zoomScaleNormal="100" workbookViewId="0">
      <pane ySplit="5" topLeftCell="A6" activePane="bottomLeft" state="frozen"/>
      <selection pane="bottomLeft" activeCell="C16" sqref="C16"/>
    </sheetView>
  </sheetViews>
  <sheetFormatPr defaultRowHeight="14.4" x14ac:dyDescent="0.3"/>
  <cols>
    <col min="1" max="1" width="1.88671875" customWidth="1"/>
    <col min="2" max="2" width="18" bestFit="1" customWidth="1"/>
    <col min="3" max="3" width="49" bestFit="1" customWidth="1"/>
    <col min="4" max="5" width="13.33203125" customWidth="1"/>
    <col min="6" max="6" width="14" customWidth="1"/>
    <col min="7" max="7" width="1" customWidth="1"/>
    <col min="8" max="8" width="17.33203125" bestFit="1" customWidth="1"/>
  </cols>
  <sheetData>
    <row r="1" spans="2:9" x14ac:dyDescent="0.3">
      <c r="E1" s="15"/>
      <c r="F1" s="15"/>
    </row>
    <row r="2" spans="2:9" ht="15" thickBot="1" x14ac:dyDescent="0.35">
      <c r="E2" s="15"/>
    </row>
    <row r="3" spans="2:9" ht="18.600000000000001" thickBot="1" x14ac:dyDescent="0.4">
      <c r="B3" s="90">
        <v>0</v>
      </c>
      <c r="D3" s="87" t="s">
        <v>33</v>
      </c>
      <c r="E3" s="88">
        <f>Summary!K6</f>
        <v>58.616399999999999</v>
      </c>
      <c r="F3" s="89">
        <f>Summary!K5</f>
        <v>50.658099999999997</v>
      </c>
    </row>
    <row r="4" spans="2:9" ht="3" customHeight="1" x14ac:dyDescent="0.3"/>
    <row r="5" spans="2:9" x14ac:dyDescent="0.3">
      <c r="B5" s="77" t="s">
        <v>29</v>
      </c>
      <c r="C5" s="77" t="s">
        <v>30</v>
      </c>
      <c r="D5" s="78" t="s">
        <v>25</v>
      </c>
      <c r="E5" s="78" t="s">
        <v>31</v>
      </c>
      <c r="F5" s="78" t="s">
        <v>34</v>
      </c>
      <c r="H5" s="78" t="str">
        <f t="shared" ref="H5:H8" si="0">B5</f>
        <v xml:space="preserve">Material Code </v>
      </c>
      <c r="I5" s="78" t="s">
        <v>10</v>
      </c>
    </row>
    <row r="6" spans="2:9" x14ac:dyDescent="0.3">
      <c r="B6" s="44" t="s">
        <v>27</v>
      </c>
      <c r="C6" s="45" t="s">
        <v>28</v>
      </c>
      <c r="D6" s="46">
        <f>Summary!D10</f>
        <v>14463.72840671087</v>
      </c>
      <c r="E6" s="46" t="s">
        <v>32</v>
      </c>
      <c r="F6" s="47">
        <f>(D6+505+50)*(100%+B3)*$F$3/1000</f>
        <v>760.82024549999983</v>
      </c>
      <c r="H6" s="51" t="str">
        <f t="shared" si="0"/>
        <v>CR01</v>
      </c>
      <c r="I6" s="52">
        <v>0.01</v>
      </c>
    </row>
    <row r="7" spans="2:9" x14ac:dyDescent="0.3">
      <c r="B7" s="48" t="s">
        <v>72</v>
      </c>
      <c r="C7" s="45" t="s">
        <v>73</v>
      </c>
      <c r="D7" s="46">
        <f>Summary!D9</f>
        <v>3239.8751631032351</v>
      </c>
      <c r="E7" s="46" t="s">
        <v>32</v>
      </c>
      <c r="F7" s="47">
        <f>(D7+725+50)*1*$F$3/1000</f>
        <v>203.38594749999999</v>
      </c>
      <c r="H7" s="51" t="str">
        <f>B7</f>
        <v>AR01</v>
      </c>
      <c r="I7" s="52">
        <v>0.01</v>
      </c>
    </row>
    <row r="8" spans="2:9" x14ac:dyDescent="0.3">
      <c r="B8" s="44" t="s">
        <v>161</v>
      </c>
      <c r="C8" s="45" t="s">
        <v>58</v>
      </c>
      <c r="D8" s="46">
        <f>Summary!$D$10</f>
        <v>14463.72840671087</v>
      </c>
      <c r="E8" s="46" t="s">
        <v>32</v>
      </c>
      <c r="F8" s="47">
        <f t="shared" ref="F8" si="1">(D8+1200+50)*1*$F$3/1000</f>
        <v>796.02762499999983</v>
      </c>
      <c r="H8" s="51" t="str">
        <f t="shared" si="0"/>
        <v>CuT02</v>
      </c>
      <c r="I8" s="52">
        <v>0.01</v>
      </c>
    </row>
    <row r="9" spans="2:9" x14ac:dyDescent="0.3">
      <c r="B9" s="44" t="s">
        <v>59</v>
      </c>
      <c r="C9" s="53" t="s">
        <v>60</v>
      </c>
      <c r="D9" s="49">
        <v>12600</v>
      </c>
      <c r="E9" s="49" t="s">
        <v>131</v>
      </c>
      <c r="F9" s="54">
        <f t="shared" ref="F9" si="2">D9/1000</f>
        <v>12.6</v>
      </c>
      <c r="H9" s="51" t="str">
        <f t="shared" ref="H9:H14" si="3">B9</f>
        <v>TP01</v>
      </c>
      <c r="I9" s="52">
        <v>0.01</v>
      </c>
    </row>
    <row r="10" spans="2:9" x14ac:dyDescent="0.3">
      <c r="B10" s="48" t="s">
        <v>147</v>
      </c>
      <c r="C10" s="53" t="s">
        <v>148</v>
      </c>
      <c r="D10" s="49">
        <v>150000</v>
      </c>
      <c r="E10" s="49" t="s">
        <v>131</v>
      </c>
      <c r="F10" s="54">
        <f t="shared" ref="F10" si="4">D10/1000</f>
        <v>150</v>
      </c>
      <c r="H10" s="51" t="str">
        <f t="shared" si="3"/>
        <v>RC03</v>
      </c>
      <c r="I10" s="52">
        <v>0.01</v>
      </c>
    </row>
    <row r="11" spans="2:9" x14ac:dyDescent="0.3">
      <c r="B11" s="48" t="s">
        <v>132</v>
      </c>
      <c r="C11" s="53" t="s">
        <v>97</v>
      </c>
      <c r="D11" s="49">
        <f>1360+100</f>
        <v>1460</v>
      </c>
      <c r="E11" s="49" t="s">
        <v>61</v>
      </c>
      <c r="F11" s="54">
        <f>+D11*$E$3/1000</f>
        <v>85.579943999999998</v>
      </c>
      <c r="H11" s="51" t="str">
        <f t="shared" si="3"/>
        <v>HB02</v>
      </c>
      <c r="I11" s="52">
        <v>0.01</v>
      </c>
    </row>
    <row r="12" spans="2:9" x14ac:dyDescent="0.3">
      <c r="B12" s="48" t="s">
        <v>154</v>
      </c>
      <c r="C12" s="53" t="s">
        <v>62</v>
      </c>
      <c r="D12" s="49">
        <f>2500+100</f>
        <v>2600</v>
      </c>
      <c r="E12" s="49" t="s">
        <v>61</v>
      </c>
      <c r="F12" s="54">
        <f>+D12*E3/1000</f>
        <v>152.40263999999999</v>
      </c>
      <c r="H12" s="51" t="str">
        <f t="shared" si="3"/>
        <v>HF30</v>
      </c>
      <c r="I12" s="52">
        <v>0.01</v>
      </c>
    </row>
    <row r="13" spans="2:9" x14ac:dyDescent="0.3">
      <c r="B13" s="48" t="s">
        <v>133</v>
      </c>
      <c r="C13" s="53" t="s">
        <v>62</v>
      </c>
      <c r="D13" s="49">
        <f>4000+100</f>
        <v>4100</v>
      </c>
      <c r="E13" s="49" t="s">
        <v>61</v>
      </c>
      <c r="F13" s="54">
        <f>+D13*E3/1000</f>
        <v>240.32723999999999</v>
      </c>
      <c r="H13" s="51" t="str">
        <f t="shared" si="3"/>
        <v>HF27</v>
      </c>
      <c r="I13" s="52">
        <v>0.01</v>
      </c>
    </row>
    <row r="14" spans="2:9" x14ac:dyDescent="0.3">
      <c r="B14" s="48" t="s">
        <v>63</v>
      </c>
      <c r="C14" s="53" t="s">
        <v>64</v>
      </c>
      <c r="D14" s="49">
        <f>17100+100</f>
        <v>17200</v>
      </c>
      <c r="E14" s="49" t="s">
        <v>61</v>
      </c>
      <c r="F14" s="54">
        <f>(D14*$E$3*1.1)/1000</f>
        <v>1109.0222879999999</v>
      </c>
      <c r="H14" s="51" t="str">
        <f t="shared" si="3"/>
        <v>YN01</v>
      </c>
      <c r="I14" s="52">
        <v>0.01</v>
      </c>
    </row>
    <row r="15" spans="2:9" x14ac:dyDescent="0.3">
      <c r="B15" s="48" t="s">
        <v>162</v>
      </c>
      <c r="C15" s="53" t="s">
        <v>65</v>
      </c>
      <c r="D15" s="49">
        <f>4600+50</f>
        <v>4650</v>
      </c>
      <c r="E15" s="49" t="s">
        <v>32</v>
      </c>
      <c r="F15" s="54">
        <f>(D15*$F$3*1.05)/1000</f>
        <v>247.33817324999998</v>
      </c>
      <c r="H15" s="51" t="str">
        <f t="shared" ref="H15:H26" si="5">B15</f>
        <v>AFD155</v>
      </c>
      <c r="I15" s="52">
        <v>0.01</v>
      </c>
    </row>
    <row r="16" spans="2:9" x14ac:dyDescent="0.3">
      <c r="B16" s="48" t="s">
        <v>166</v>
      </c>
      <c r="C16" s="53" t="s">
        <v>65</v>
      </c>
      <c r="D16" s="49">
        <f t="shared" ref="D16" si="6">4600+50</f>
        <v>4650</v>
      </c>
      <c r="E16" s="49" t="s">
        <v>32</v>
      </c>
      <c r="F16" s="54">
        <f>(D16*$F$3*1.05)/1000</f>
        <v>247.33817324999998</v>
      </c>
      <c r="H16" s="51" t="str">
        <f t="shared" si="5"/>
        <v>AFD145</v>
      </c>
      <c r="I16" s="52">
        <v>0.01</v>
      </c>
    </row>
    <row r="17" spans="2:9" x14ac:dyDescent="0.3">
      <c r="B17" s="48" t="s">
        <v>155</v>
      </c>
      <c r="C17" s="53" t="s">
        <v>155</v>
      </c>
      <c r="D17" s="49">
        <v>200000</v>
      </c>
      <c r="E17" s="49" t="s">
        <v>131</v>
      </c>
      <c r="F17" s="54">
        <f>D17/1000</f>
        <v>200</v>
      </c>
      <c r="H17" s="51" t="str">
        <f t="shared" si="5"/>
        <v>A-ECAP10</v>
      </c>
      <c r="I17" s="52">
        <v>0.01</v>
      </c>
    </row>
    <row r="18" spans="2:9" x14ac:dyDescent="0.3">
      <c r="B18" s="48" t="s">
        <v>158</v>
      </c>
      <c r="C18" s="53" t="s">
        <v>155</v>
      </c>
      <c r="D18" s="49">
        <v>200000</v>
      </c>
      <c r="E18" s="49" t="s">
        <v>131</v>
      </c>
      <c r="F18" s="54">
        <f t="shared" ref="F18:F19" si="7">D18/1000</f>
        <v>200</v>
      </c>
      <c r="H18" s="51" t="str">
        <f t="shared" si="5"/>
        <v>A-EC05</v>
      </c>
      <c r="I18" s="52">
        <v>0.01</v>
      </c>
    </row>
    <row r="19" spans="2:9" x14ac:dyDescent="0.3">
      <c r="B19" s="48" t="s">
        <v>163</v>
      </c>
      <c r="C19" s="53" t="s">
        <v>155</v>
      </c>
      <c r="D19" s="49">
        <v>200000</v>
      </c>
      <c r="E19" s="49" t="s">
        <v>131</v>
      </c>
      <c r="F19" s="54">
        <f t="shared" si="7"/>
        <v>200</v>
      </c>
      <c r="H19" s="51" t="str">
        <f t="shared" si="5"/>
        <v>A-EC04</v>
      </c>
      <c r="I19" s="52">
        <v>0.01</v>
      </c>
    </row>
    <row r="20" spans="2:9" x14ac:dyDescent="0.3">
      <c r="B20" s="48" t="s">
        <v>67</v>
      </c>
      <c r="C20" s="53" t="s">
        <v>66</v>
      </c>
      <c r="D20" s="49">
        <f>10000+100</f>
        <v>10100</v>
      </c>
      <c r="E20" s="49" t="s">
        <v>32</v>
      </c>
      <c r="F20" s="54">
        <f t="shared" ref="F20" si="8">+D20*$F$3*1.1/1000</f>
        <v>562.81149100000005</v>
      </c>
      <c r="H20" s="51" t="str">
        <f t="shared" si="5"/>
        <v>ML04</v>
      </c>
      <c r="I20" s="52">
        <v>0.01</v>
      </c>
    </row>
    <row r="21" spans="2:9" x14ac:dyDescent="0.3">
      <c r="B21" s="48" t="s">
        <v>49</v>
      </c>
      <c r="C21" s="53" t="s">
        <v>52</v>
      </c>
      <c r="D21" s="49">
        <f>1900+100+100</f>
        <v>2100</v>
      </c>
      <c r="E21" s="49" t="s">
        <v>32</v>
      </c>
      <c r="F21" s="54">
        <f>D21*1*$F$3/1000</f>
        <v>106.38200999999999</v>
      </c>
      <c r="H21" s="51" t="str">
        <f t="shared" si="5"/>
        <v>SC01</v>
      </c>
      <c r="I21" s="52">
        <v>0.01</v>
      </c>
    </row>
    <row r="22" spans="2:9" x14ac:dyDescent="0.3">
      <c r="B22" s="48" t="s">
        <v>68</v>
      </c>
      <c r="C22" s="53" t="s">
        <v>79</v>
      </c>
      <c r="D22" s="49">
        <f>2355+100</f>
        <v>2455</v>
      </c>
      <c r="E22" s="49" t="s">
        <v>32</v>
      </c>
      <c r="F22" s="54">
        <f>D22*1*$F$3/1000</f>
        <v>124.3656355</v>
      </c>
      <c r="H22" s="51" t="str">
        <f t="shared" si="5"/>
        <v>SC02</v>
      </c>
      <c r="I22" s="52">
        <v>0.01</v>
      </c>
    </row>
    <row r="23" spans="2:9" x14ac:dyDescent="0.3">
      <c r="B23" s="48" t="s">
        <v>50</v>
      </c>
      <c r="C23" s="53" t="s">
        <v>51</v>
      </c>
      <c r="D23" s="49">
        <f>2030+100+100</f>
        <v>2230</v>
      </c>
      <c r="E23" s="49" t="s">
        <v>32</v>
      </c>
      <c r="F23" s="54">
        <f>D23*1*$F$3/1000</f>
        <v>112.967563</v>
      </c>
      <c r="H23" s="51" t="str">
        <f t="shared" si="5"/>
        <v>XL02</v>
      </c>
      <c r="I23" s="52">
        <v>0.01</v>
      </c>
    </row>
    <row r="24" spans="2:9" x14ac:dyDescent="0.3">
      <c r="B24" s="48" t="s">
        <v>53</v>
      </c>
      <c r="C24" s="53" t="s">
        <v>69</v>
      </c>
      <c r="D24" s="49">
        <f>1400+100+100</f>
        <v>1600</v>
      </c>
      <c r="E24" s="49" t="s">
        <v>32</v>
      </c>
      <c r="F24" s="54">
        <f t="shared" ref="F24" si="9">D24*1*$F$3/1000</f>
        <v>81.052959999999999</v>
      </c>
      <c r="H24" s="51" t="str">
        <f t="shared" si="5"/>
        <v>PS03</v>
      </c>
      <c r="I24" s="52">
        <v>0.01</v>
      </c>
    </row>
    <row r="25" spans="2:9" x14ac:dyDescent="0.3">
      <c r="B25" s="48" t="s">
        <v>54</v>
      </c>
      <c r="C25" s="53" t="s">
        <v>56</v>
      </c>
      <c r="D25" s="50">
        <f>807+100+100</f>
        <v>1007</v>
      </c>
      <c r="E25" s="49" t="s">
        <v>32</v>
      </c>
      <c r="F25" s="54">
        <f>D25*$F$3*1.1/1000</f>
        <v>56.113977370000001</v>
      </c>
      <c r="H25" s="51" t="str">
        <f t="shared" si="5"/>
        <v>WS03</v>
      </c>
      <c r="I25" s="52">
        <v>0.01</v>
      </c>
    </row>
    <row r="26" spans="2:9" x14ac:dyDescent="0.3">
      <c r="B26" s="48" t="s">
        <v>70</v>
      </c>
      <c r="C26" s="53" t="s">
        <v>56</v>
      </c>
      <c r="D26" s="50">
        <f>2180+100+100</f>
        <v>2380</v>
      </c>
      <c r="E26" s="49" t="s">
        <v>32</v>
      </c>
      <c r="F26" s="54">
        <f t="shared" ref="F26:F29" si="10">D26*1.1*$F$3/1000</f>
        <v>132.62290580000001</v>
      </c>
      <c r="H26" s="51" t="str">
        <f t="shared" si="5"/>
        <v>WS01</v>
      </c>
      <c r="I26" s="52">
        <v>0.01</v>
      </c>
    </row>
    <row r="27" spans="2:9" x14ac:dyDescent="0.3">
      <c r="B27" s="48" t="s">
        <v>144</v>
      </c>
      <c r="C27" s="53" t="s">
        <v>57</v>
      </c>
      <c r="D27" s="49">
        <f>380+100+250</f>
        <v>730</v>
      </c>
      <c r="E27" s="49" t="s">
        <v>32</v>
      </c>
      <c r="F27" s="54">
        <f t="shared" si="10"/>
        <v>40.678454300000006</v>
      </c>
      <c r="H27" s="51" t="str">
        <f t="shared" ref="H27:H38" si="11">B27</f>
        <v>WN35</v>
      </c>
      <c r="I27" s="52">
        <v>0.01</v>
      </c>
    </row>
    <row r="28" spans="2:9" x14ac:dyDescent="0.3">
      <c r="B28" s="48" t="s">
        <v>145</v>
      </c>
      <c r="C28" s="53" t="s">
        <v>57</v>
      </c>
      <c r="D28" s="49">
        <f>350+100+250</f>
        <v>700</v>
      </c>
      <c r="E28" s="49" t="s">
        <v>32</v>
      </c>
      <c r="F28" s="54">
        <f t="shared" si="10"/>
        <v>39.006737000000001</v>
      </c>
      <c r="H28" s="51" t="str">
        <f t="shared" si="11"/>
        <v>WN65</v>
      </c>
      <c r="I28" s="52">
        <v>0.01</v>
      </c>
    </row>
    <row r="29" spans="2:9" x14ac:dyDescent="0.3">
      <c r="B29" s="48" t="s">
        <v>55</v>
      </c>
      <c r="C29" s="53" t="s">
        <v>57</v>
      </c>
      <c r="D29" s="49">
        <f>650+100+100</f>
        <v>850</v>
      </c>
      <c r="E29" s="49" t="s">
        <v>32</v>
      </c>
      <c r="F29" s="54">
        <f t="shared" si="10"/>
        <v>47.365323500000002</v>
      </c>
      <c r="H29" s="51" t="str">
        <f t="shared" si="11"/>
        <v>WN03</v>
      </c>
      <c r="I29" s="52">
        <v>0.01</v>
      </c>
    </row>
    <row r="30" spans="2:9" x14ac:dyDescent="0.3">
      <c r="B30" s="48" t="s">
        <v>139</v>
      </c>
      <c r="C30" s="53" t="s">
        <v>57</v>
      </c>
      <c r="D30" s="49">
        <f>250+100+250</f>
        <v>600</v>
      </c>
      <c r="E30" s="49" t="s">
        <v>32</v>
      </c>
      <c r="F30" s="54">
        <f t="shared" ref="F30" si="12">D30*1.1*$F$3/1000</f>
        <v>33.434345999999998</v>
      </c>
      <c r="H30" s="51" t="str">
        <f t="shared" si="11"/>
        <v>WN08</v>
      </c>
      <c r="I30" s="52">
        <v>0.01</v>
      </c>
    </row>
    <row r="31" spans="2:9" x14ac:dyDescent="0.3">
      <c r="B31" s="48" t="s">
        <v>140</v>
      </c>
      <c r="C31" s="53" t="s">
        <v>57</v>
      </c>
      <c r="D31" s="49">
        <f>360+100+100</f>
        <v>560</v>
      </c>
      <c r="E31" s="49" t="s">
        <v>32</v>
      </c>
      <c r="F31" s="54">
        <f t="shared" ref="F31" si="13">D31*1.1*$F$3/1000</f>
        <v>31.2053896</v>
      </c>
      <c r="H31" s="51" t="str">
        <f t="shared" ref="H31" si="14">B31</f>
        <v>WN75</v>
      </c>
      <c r="I31" s="52">
        <v>0.01</v>
      </c>
    </row>
    <row r="32" spans="2:9" x14ac:dyDescent="0.3">
      <c r="B32" s="48" t="s">
        <v>141</v>
      </c>
      <c r="C32" s="53" t="s">
        <v>57</v>
      </c>
      <c r="D32" s="49">
        <f>650+100+100</f>
        <v>850</v>
      </c>
      <c r="E32" s="49" t="s">
        <v>32</v>
      </c>
      <c r="F32" s="54">
        <f t="shared" ref="F32" si="15">D32*1.1*$F$3/1000</f>
        <v>47.365323500000002</v>
      </c>
      <c r="H32" s="51" t="str">
        <f t="shared" ref="H32" si="16">B32</f>
        <v>WN81</v>
      </c>
      <c r="I32" s="52">
        <v>0.01</v>
      </c>
    </row>
    <row r="33" spans="2:9" x14ac:dyDescent="0.3">
      <c r="B33" s="48" t="s">
        <v>92</v>
      </c>
      <c r="C33" s="53" t="s">
        <v>94</v>
      </c>
      <c r="D33" s="49">
        <f>1800+100</f>
        <v>1900</v>
      </c>
      <c r="E33" s="49" t="s">
        <v>32</v>
      </c>
      <c r="F33" s="54">
        <f>D33*$F$3/1000</f>
        <v>96.250389999999996</v>
      </c>
      <c r="H33" s="51" t="str">
        <f t="shared" ref="H33:H34" si="17">B33</f>
        <v>XL08</v>
      </c>
      <c r="I33" s="52">
        <v>0.01</v>
      </c>
    </row>
    <row r="34" spans="2:9" x14ac:dyDescent="0.3">
      <c r="B34" s="48" t="s">
        <v>93</v>
      </c>
      <c r="C34" s="53" t="s">
        <v>71</v>
      </c>
      <c r="D34" s="49">
        <f>4500+100</f>
        <v>4600</v>
      </c>
      <c r="E34" s="49" t="s">
        <v>32</v>
      </c>
      <c r="F34" s="54">
        <f>D34*$F$3/1000</f>
        <v>233.02725999999998</v>
      </c>
      <c r="H34" s="51" t="str">
        <f t="shared" si="17"/>
        <v>CX05</v>
      </c>
      <c r="I34" s="52">
        <v>0.01</v>
      </c>
    </row>
    <row r="35" spans="2:9" x14ac:dyDescent="0.3">
      <c r="B35" s="48" t="s">
        <v>35</v>
      </c>
      <c r="C35" s="53" t="s">
        <v>36</v>
      </c>
      <c r="D35" s="49">
        <f>2700+100+100</f>
        <v>2900</v>
      </c>
      <c r="E35" s="49" t="s">
        <v>32</v>
      </c>
      <c r="F35" s="54">
        <f>D35*1*$F$3/1000</f>
        <v>146.90849</v>
      </c>
      <c r="H35" s="51" t="str">
        <f t="shared" si="11"/>
        <v>PT04</v>
      </c>
      <c r="I35" s="52">
        <v>0.01</v>
      </c>
    </row>
    <row r="36" spans="2:9" x14ac:dyDescent="0.3">
      <c r="B36" s="48" t="s">
        <v>74</v>
      </c>
      <c r="C36" s="53" t="s">
        <v>75</v>
      </c>
      <c r="D36" s="49">
        <f>2700+100+100</f>
        <v>2900</v>
      </c>
      <c r="E36" s="49" t="s">
        <v>32</v>
      </c>
      <c r="F36" s="54">
        <f t="shared" ref="F36" si="18">D36*1*$F$3/1000</f>
        <v>146.90849</v>
      </c>
      <c r="H36" s="51" t="str">
        <f t="shared" si="11"/>
        <v>PT06</v>
      </c>
      <c r="I36" s="52">
        <v>0.01</v>
      </c>
    </row>
    <row r="37" spans="2:9" x14ac:dyDescent="0.3">
      <c r="B37" s="48" t="s">
        <v>80</v>
      </c>
      <c r="C37" s="53" t="s">
        <v>77</v>
      </c>
      <c r="D37" s="49">
        <v>197500</v>
      </c>
      <c r="E37" s="49" t="s">
        <v>131</v>
      </c>
      <c r="F37" s="54">
        <f t="shared" ref="F37:F42" si="19">+D37/1000</f>
        <v>197.5</v>
      </c>
      <c r="H37" s="51" t="str">
        <f t="shared" si="11"/>
        <v>MP02</v>
      </c>
      <c r="I37" s="52">
        <v>0.01</v>
      </c>
    </row>
    <row r="38" spans="2:9" x14ac:dyDescent="0.3">
      <c r="B38" s="48" t="s">
        <v>76</v>
      </c>
      <c r="C38" s="53" t="s">
        <v>77</v>
      </c>
      <c r="D38" s="49">
        <v>192000</v>
      </c>
      <c r="E38" s="49" t="s">
        <v>131</v>
      </c>
      <c r="F38" s="54">
        <f t="shared" si="19"/>
        <v>192</v>
      </c>
      <c r="H38" s="51" t="str">
        <f t="shared" si="11"/>
        <v>MP04</v>
      </c>
      <c r="I38" s="52">
        <v>0.01</v>
      </c>
    </row>
    <row r="39" spans="2:9" x14ac:dyDescent="0.3">
      <c r="B39" s="48" t="s">
        <v>78</v>
      </c>
      <c r="C39" s="53" t="s">
        <v>77</v>
      </c>
      <c r="D39" s="49">
        <v>206000</v>
      </c>
      <c r="E39" s="49" t="s">
        <v>131</v>
      </c>
      <c r="F39" s="54">
        <f t="shared" si="19"/>
        <v>206</v>
      </c>
      <c r="H39" s="51" t="str">
        <f t="shared" ref="H39:H42" si="20">B39</f>
        <v>MP03</v>
      </c>
      <c r="I39" s="52">
        <v>0.01</v>
      </c>
    </row>
    <row r="40" spans="2:9" x14ac:dyDescent="0.3">
      <c r="B40" s="48" t="s">
        <v>157</v>
      </c>
      <c r="C40" s="53" t="s">
        <v>77</v>
      </c>
      <c r="D40" s="49">
        <v>206000</v>
      </c>
      <c r="E40" s="49" t="s">
        <v>131</v>
      </c>
      <c r="F40" s="54">
        <f t="shared" si="19"/>
        <v>206</v>
      </c>
      <c r="H40" s="51" t="str">
        <f t="shared" si="20"/>
        <v>MP06</v>
      </c>
      <c r="I40" s="52">
        <v>0.01</v>
      </c>
    </row>
    <row r="41" spans="2:9" x14ac:dyDescent="0.3">
      <c r="B41" s="48" t="s">
        <v>81</v>
      </c>
      <c r="C41" s="53" t="s">
        <v>77</v>
      </c>
      <c r="D41" s="49">
        <v>189000</v>
      </c>
      <c r="E41" s="49" t="s">
        <v>131</v>
      </c>
      <c r="F41" s="54">
        <f t="shared" si="19"/>
        <v>189</v>
      </c>
      <c r="H41" s="51" t="str">
        <f t="shared" si="20"/>
        <v>MP07</v>
      </c>
      <c r="I41" s="52">
        <v>0.01</v>
      </c>
    </row>
    <row r="42" spans="2:9" x14ac:dyDescent="0.3">
      <c r="B42" s="48" t="s">
        <v>82</v>
      </c>
      <c r="C42" s="53" t="s">
        <v>77</v>
      </c>
      <c r="D42" s="49">
        <v>168000</v>
      </c>
      <c r="E42" s="49" t="s">
        <v>131</v>
      </c>
      <c r="F42" s="54">
        <f t="shared" si="19"/>
        <v>168</v>
      </c>
      <c r="H42" s="51" t="str">
        <f t="shared" si="20"/>
        <v>MP05</v>
      </c>
      <c r="I42" s="52">
        <v>0.01</v>
      </c>
    </row>
  </sheetData>
  <autoFilter ref="B5:I5" xr:uid="{00000000-0001-0000-0100-000000000000}"/>
  <phoneticPr fontId="14" type="noConversion"/>
  <pageMargins left="0.70866141732283472" right="0.70866141732283472" top="0.74803149606299213" bottom="0.74803149606299213" header="0.31496062992125984" footer="0.31496062992125984"/>
  <pageSetup paperSize="9" scale="83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38"/>
  <sheetViews>
    <sheetView showGridLines="0" topLeftCell="B1" zoomScaleNormal="100" workbookViewId="0">
      <selection activeCell="D14" sqref="D14"/>
    </sheetView>
  </sheetViews>
  <sheetFormatPr defaultColWidth="9.109375" defaultRowHeight="13.2" x14ac:dyDescent="0.25"/>
  <cols>
    <col min="1" max="1" width="3" style="1" hidden="1" customWidth="1"/>
    <col min="2" max="2" width="2.109375" style="1" customWidth="1"/>
    <col min="3" max="3" width="14" style="1" bestFit="1" customWidth="1"/>
    <col min="4" max="4" width="49.6640625" style="1" bestFit="1" customWidth="1"/>
    <col min="5" max="5" width="12.88671875" style="1" bestFit="1" customWidth="1"/>
    <col min="6" max="6" width="9.77734375" style="1" bestFit="1" customWidth="1"/>
    <col min="7" max="7" width="17.5546875" style="1" bestFit="1" customWidth="1"/>
    <col min="8" max="8" width="11.33203125" style="1" customWidth="1"/>
    <col min="9" max="9" width="10.5546875" style="1" customWidth="1"/>
    <col min="10" max="10" width="19" style="1" customWidth="1"/>
    <col min="11" max="11" width="12.109375" style="1" customWidth="1"/>
    <col min="12" max="12" width="7.6640625" style="1" bestFit="1" customWidth="1"/>
    <col min="13" max="13" width="0.6640625" style="1" customWidth="1"/>
    <col min="14" max="14" width="16.33203125" style="1" bestFit="1" customWidth="1"/>
    <col min="15" max="15" width="13.6640625" style="1" bestFit="1" customWidth="1"/>
    <col min="16" max="16384" width="9.109375" style="1"/>
  </cols>
  <sheetData>
    <row r="1" spans="2:18" ht="3" customHeight="1" x14ac:dyDescent="0.25"/>
    <row r="2" spans="2:18" x14ac:dyDescent="0.25">
      <c r="D2" s="56" t="s">
        <v>6</v>
      </c>
      <c r="E2" s="57">
        <f>Summary!$D$9</f>
        <v>3239.8751631032351</v>
      </c>
    </row>
    <row r="3" spans="2:18" x14ac:dyDescent="0.25">
      <c r="D3" s="56" t="s">
        <v>7</v>
      </c>
      <c r="E3" s="57">
        <f>Summary!$D$10</f>
        <v>14463.72840671087</v>
      </c>
    </row>
    <row r="4" spans="2:18" x14ac:dyDescent="0.25">
      <c r="D4" s="56" t="str">
        <f>IF(Summary!H10="USD","USD Rate",IF(Summary!H10="Euro","Euro Rate","GBP Rate"))</f>
        <v>Euro Rate</v>
      </c>
      <c r="E4" s="5">
        <f>IF(Summary!H10="USD",Summary!K5,IF(Summary!H10="GBP",Summary!K7,Summary!K6))</f>
        <v>58.616399999999999</v>
      </c>
      <c r="J4" s="5" t="s">
        <v>153</v>
      </c>
      <c r="K4" s="25" t="s">
        <v>152</v>
      </c>
    </row>
    <row r="5" spans="2:18" ht="4.5" customHeight="1" x14ac:dyDescent="0.25"/>
    <row r="6" spans="2:18" x14ac:dyDescent="0.25">
      <c r="D6" s="4" t="s">
        <v>151</v>
      </c>
      <c r="J6" s="5" t="s">
        <v>5</v>
      </c>
      <c r="K6" s="25">
        <f>Summary!D13</f>
        <v>1</v>
      </c>
      <c r="N6" s="33"/>
      <c r="O6" s="33"/>
      <c r="P6" s="34"/>
      <c r="Q6" s="34"/>
      <c r="R6" s="33"/>
    </row>
    <row r="7" spans="2:18" ht="4.5" customHeight="1" x14ac:dyDescent="0.25">
      <c r="N7" s="33"/>
      <c r="O7" s="33"/>
      <c r="P7" s="33"/>
      <c r="Q7" s="33"/>
      <c r="R7" s="33"/>
    </row>
    <row r="8" spans="2:18" s="2" customFormat="1" ht="26.4" x14ac:dyDescent="0.3">
      <c r="C8" s="77" t="s">
        <v>0</v>
      </c>
      <c r="D8" s="77" t="s">
        <v>1</v>
      </c>
      <c r="E8" s="77" t="s">
        <v>9</v>
      </c>
      <c r="F8" s="77" t="s">
        <v>10</v>
      </c>
      <c r="G8" s="78" t="s">
        <v>11</v>
      </c>
      <c r="H8" s="78" t="s">
        <v>2</v>
      </c>
      <c r="I8" s="78" t="str">
        <f>IF(Summary!H10="USD","Unit Price USD",IF(Summary!H10="GBP","Unit Price GBP","Unit Price Euro"))</f>
        <v>Unit Price Euro</v>
      </c>
      <c r="J8" s="77" t="s">
        <v>3</v>
      </c>
      <c r="K8" s="77" t="str">
        <f>IF(Summary!H10="USD","Value USD",IF(Summary!H10="GBP","Value GBP","Value Euro"))</f>
        <v>Value Euro</v>
      </c>
      <c r="L8" s="77" t="s">
        <v>4</v>
      </c>
      <c r="N8" s="35"/>
      <c r="O8" s="35"/>
      <c r="P8" s="35"/>
      <c r="Q8" s="35"/>
      <c r="R8" s="35"/>
    </row>
    <row r="9" spans="2:18" ht="14.4" x14ac:dyDescent="0.3">
      <c r="B9" s="1" t="str">
        <f>+IF(C9="CR01","CU",IF(C9="CR02","CU",IF(C9="AR01","AL",IF(C9="AR02","AL",IF(C9="AR08","AL",IF(C9="AR03","AL"))))))</f>
        <v>CU</v>
      </c>
      <c r="C9" s="108" t="s">
        <v>27</v>
      </c>
      <c r="D9" s="41" t="str">
        <f>VLOOKUP(C9,'Materials List'!$B$6:$F$42,2,0)</f>
        <v>Copper Rod "8mm"</v>
      </c>
      <c r="E9" s="109">
        <v>135.22999999999999</v>
      </c>
      <c r="F9" s="110">
        <f>VLOOKUP(C9,'Materials List'!$H$6:I$359,2,0)</f>
        <v>0.01</v>
      </c>
      <c r="G9" s="109">
        <f>E9+(E9*F9)</f>
        <v>136.5823</v>
      </c>
      <c r="H9" s="109">
        <f>VLOOKUP(C9,'Materials List'!$B$6:$F$53,5,0)</f>
        <v>760.82024549999983</v>
      </c>
      <c r="I9" s="109">
        <f t="shared" ref="I9:I23" si="0">H9/$E$4</f>
        <v>12.979648110426432</v>
      </c>
      <c r="J9" s="111">
        <f>G9*H9</f>
        <v>103914.57901695462</v>
      </c>
      <c r="K9" s="111">
        <f>I9*G9</f>
        <v>1772.7901921126961</v>
      </c>
      <c r="L9" s="62">
        <f t="shared" ref="L9:L15" si="1">J9/$J$28</f>
        <v>0.79247397968678979</v>
      </c>
      <c r="M9" s="3"/>
      <c r="N9" s="35"/>
      <c r="O9" s="35"/>
      <c r="P9" s="23"/>
      <c r="Q9" s="33"/>
      <c r="R9" s="24"/>
    </row>
    <row r="10" spans="2:18" ht="14.4" x14ac:dyDescent="0.3">
      <c r="C10" s="108" t="s">
        <v>92</v>
      </c>
      <c r="D10" s="41" t="str">
        <f>VLOOKUP(C10,'Materials List'!$B$6:$F$42,2,0)</f>
        <v>XLPE Insulation ForBasec</v>
      </c>
      <c r="E10" s="109">
        <v>11.92</v>
      </c>
      <c r="F10" s="110">
        <f>VLOOKUP(C10,'Materials List'!$H$6:$I$359,2,0)</f>
        <v>0.01</v>
      </c>
      <c r="G10" s="109">
        <f t="shared" ref="G10" si="2">E10+(E10*F10)</f>
        <v>12.039199999999999</v>
      </c>
      <c r="H10" s="109">
        <f>VLOOKUP(C10,'Materials List'!$B$6:$F$53,5,0)</f>
        <v>96.250389999999996</v>
      </c>
      <c r="I10" s="109">
        <f t="shared" ref="I10" si="3">H10/$E$4</f>
        <v>1.6420385762346374</v>
      </c>
      <c r="J10" s="111">
        <f t="shared" ref="J10" si="4">G10*H10</f>
        <v>1158.7776952879999</v>
      </c>
      <c r="K10" s="111">
        <f t="shared" ref="K10" si="5">I10*G10</f>
        <v>19.768830827004045</v>
      </c>
      <c r="L10" s="62">
        <f t="shared" si="1"/>
        <v>8.8370773422210384E-3</v>
      </c>
      <c r="N10" s="36"/>
      <c r="O10" s="36"/>
      <c r="P10" s="37"/>
      <c r="Q10" s="33"/>
      <c r="R10" s="24"/>
    </row>
    <row r="11" spans="2:18" ht="14.4" x14ac:dyDescent="0.3">
      <c r="C11" s="108" t="s">
        <v>93</v>
      </c>
      <c r="D11" s="41" t="str">
        <f>VLOOKUP(C11,'Materials List'!$B$6:$F$42,2,0)</f>
        <v>Catalyst for PE insulation mat</v>
      </c>
      <c r="E11" s="109">
        <v>0.61</v>
      </c>
      <c r="F11" s="110">
        <f>VLOOKUP(C11,'Materials List'!$H$6:$I$359,2,0)</f>
        <v>0.01</v>
      </c>
      <c r="G11" s="109">
        <f t="shared" ref="G11:G12" si="6">E11+(E11*F11)</f>
        <v>0.61609999999999998</v>
      </c>
      <c r="H11" s="109">
        <f>VLOOKUP(C11,'Materials List'!$B$6:$F$53,5,0)</f>
        <v>233.02725999999998</v>
      </c>
      <c r="I11" s="109">
        <f t="shared" ref="I11:I12" si="7">H11/$E$4</f>
        <v>3.9754618161470168</v>
      </c>
      <c r="J11" s="111">
        <f t="shared" ref="J11:J12" si="8">G11*H11</f>
        <v>143.56809488599998</v>
      </c>
      <c r="K11" s="111">
        <f t="shared" ref="K11:K12" si="9">I11*G11</f>
        <v>2.449282024928177</v>
      </c>
      <c r="L11" s="62">
        <f t="shared" si="1"/>
        <v>1.0948798579244186E-3</v>
      </c>
      <c r="N11" s="36"/>
      <c r="O11" s="36"/>
      <c r="P11" s="23"/>
      <c r="Q11" s="33"/>
      <c r="R11" s="24"/>
    </row>
    <row r="12" spans="2:18" ht="14.4" x14ac:dyDescent="0.3">
      <c r="C12" s="108" t="s">
        <v>59</v>
      </c>
      <c r="D12" s="41" t="str">
        <f>VLOOKUP(C12,'Materials List'!$B$6:$F$42,2,0)</f>
        <v>Chalk Powder</v>
      </c>
      <c r="E12" s="109">
        <v>0.5</v>
      </c>
      <c r="F12" s="110">
        <f>VLOOKUP(C12,'Materials List'!$H$6:$I$359,2,0)</f>
        <v>0.01</v>
      </c>
      <c r="G12" s="109">
        <f t="shared" si="6"/>
        <v>0.505</v>
      </c>
      <c r="H12" s="109">
        <f>VLOOKUP(C12,'Materials List'!$B$6:$F$53,5,0)</f>
        <v>12.6</v>
      </c>
      <c r="I12" s="109">
        <f t="shared" si="7"/>
        <v>0.21495690625831679</v>
      </c>
      <c r="J12" s="111">
        <f t="shared" si="8"/>
        <v>6.3629999999999995</v>
      </c>
      <c r="K12" s="111">
        <f t="shared" si="9"/>
        <v>0.10855323766044998</v>
      </c>
      <c r="L12" s="62">
        <f t="shared" si="1"/>
        <v>4.8525548392245426E-5</v>
      </c>
      <c r="N12" s="36"/>
      <c r="O12" s="36"/>
      <c r="P12" s="23"/>
      <c r="Q12" s="33"/>
      <c r="R12" s="24"/>
    </row>
    <row r="13" spans="2:18" ht="14.4" x14ac:dyDescent="0.3">
      <c r="C13" s="108" t="s">
        <v>154</v>
      </c>
      <c r="D13" s="41" t="str">
        <f>VLOOKUP(C13,'Materials List'!$B$6:$F$42,2,0)</f>
        <v xml:space="preserve">Thermosetting compound Low smoke halogen free </v>
      </c>
      <c r="E13" s="109">
        <v>45.2</v>
      </c>
      <c r="F13" s="110">
        <f>VLOOKUP(C13,'Materials List'!$H$6:$I$359,2,0)</f>
        <v>0.01</v>
      </c>
      <c r="G13" s="109">
        <f t="shared" ref="G13" si="10">E13+(E13*F13)</f>
        <v>45.652000000000001</v>
      </c>
      <c r="H13" s="109">
        <f>VLOOKUP(C13,'Materials List'!$B$6:$F$53,5,0)</f>
        <v>152.40263999999999</v>
      </c>
      <c r="I13" s="109">
        <f t="shared" ref="I13" si="11">H13/$E$4</f>
        <v>2.6</v>
      </c>
      <c r="J13" s="111">
        <f t="shared" ref="J13" si="12">G13*H13</f>
        <v>6957.4853212799999</v>
      </c>
      <c r="K13" s="111">
        <f t="shared" ref="K13" si="13">I13*G13</f>
        <v>118.6952</v>
      </c>
      <c r="L13" s="62">
        <f t="shared" si="1"/>
        <v>5.3059215880262439E-2</v>
      </c>
      <c r="N13" s="38"/>
      <c r="O13" s="36"/>
      <c r="P13" s="23"/>
      <c r="Q13" s="33"/>
      <c r="R13" s="24"/>
    </row>
    <row r="14" spans="2:18" ht="14.4" x14ac:dyDescent="0.3">
      <c r="C14" s="108" t="s">
        <v>133</v>
      </c>
      <c r="D14" s="41" t="str">
        <f>VLOOKUP(C14,'Materials List'!$B$6:$F$42,2,0)</f>
        <v xml:space="preserve">Thermosetting compound Low smoke halogen free </v>
      </c>
      <c r="E14" s="109">
        <v>72.900000000000006</v>
      </c>
      <c r="F14" s="110">
        <f>VLOOKUP(C14,'Materials List'!$H$6:$I$359,2,0)</f>
        <v>0.01</v>
      </c>
      <c r="G14" s="109">
        <f t="shared" ref="G14" si="14">E14+(E14*F14)</f>
        <v>73.629000000000005</v>
      </c>
      <c r="H14" s="109">
        <f>VLOOKUP(C14,'Materials List'!$B$6:$F$53,5,0)</f>
        <v>240.32723999999999</v>
      </c>
      <c r="I14" s="109">
        <f t="shared" ref="I14" si="15">H14/$E$4</f>
        <v>4.0999999999999996</v>
      </c>
      <c r="J14" s="111">
        <f t="shared" ref="J14" si="16">G14*H14</f>
        <v>17695.05435396</v>
      </c>
      <c r="K14" s="111">
        <f t="shared" ref="K14" si="17">I14*G14</f>
        <v>301.87889999999999</v>
      </c>
      <c r="L14" s="62">
        <f t="shared" si="1"/>
        <v>0.13494612861173963</v>
      </c>
      <c r="N14" s="36"/>
      <c r="O14" s="36"/>
      <c r="P14" s="23"/>
      <c r="Q14" s="33"/>
      <c r="R14" s="24"/>
    </row>
    <row r="15" spans="2:18" ht="14.4" x14ac:dyDescent="0.3">
      <c r="C15" s="108" t="s">
        <v>67</v>
      </c>
      <c r="D15" s="41" t="str">
        <f>VLOOKUP(C15,'Materials List'!$B$6:$F$42,2,0)</f>
        <v xml:space="preserve">Color Master Batch for LSHF </v>
      </c>
      <c r="E15" s="109">
        <v>1.49</v>
      </c>
      <c r="F15" s="110">
        <f>VLOOKUP(C15,'Materials List'!$H$6:$I$359,2,0)</f>
        <v>0.01</v>
      </c>
      <c r="G15" s="109">
        <f t="shared" ref="G15" si="18">E15+(E15*F15)</f>
        <v>1.5048999999999999</v>
      </c>
      <c r="H15" s="109">
        <f>VLOOKUP(C15,'Materials List'!$B$6:$F$53,5,0)</f>
        <v>562.81149100000005</v>
      </c>
      <c r="I15" s="109">
        <f t="shared" ref="I15" si="19">H15/$E$4</f>
        <v>9.6016045168246436</v>
      </c>
      <c r="J15" s="111">
        <f t="shared" ref="J15" si="20">G15*H15</f>
        <v>846.97501280590006</v>
      </c>
      <c r="K15" s="111">
        <f t="shared" ref="K15" si="21">I15*G15</f>
        <v>14.449454637369405</v>
      </c>
      <c r="L15" s="62">
        <f t="shared" si="1"/>
        <v>6.4592058731628788E-3</v>
      </c>
      <c r="N15" s="38"/>
      <c r="O15" s="38"/>
      <c r="P15" s="39"/>
      <c r="R15" s="24"/>
    </row>
    <row r="16" spans="2:18" ht="14.4" x14ac:dyDescent="0.3">
      <c r="C16" s="108" t="s">
        <v>155</v>
      </c>
      <c r="D16" s="41" t="str">
        <f>VLOOKUP(C16,'Materials List'!$B$6:$F$42,2,0)</f>
        <v>A-ECAP10</v>
      </c>
      <c r="E16" s="109">
        <v>2</v>
      </c>
      <c r="F16" s="110">
        <f>VLOOKUP(C16,'Materials List'!$H$6:$I$359,2,0)</f>
        <v>0.01</v>
      </c>
      <c r="G16" s="109">
        <f t="shared" ref="G16" si="22">E16+(E16*F16)</f>
        <v>2.02</v>
      </c>
      <c r="H16" s="109">
        <f>VLOOKUP(C16,'Materials List'!$B$6:$F$53,5,0)</f>
        <v>200</v>
      </c>
      <c r="I16" s="109">
        <f t="shared" ref="I16" si="23">H16/$E$4</f>
        <v>3.4120143850526476</v>
      </c>
      <c r="J16" s="111">
        <f t="shared" ref="J16" si="24">G16*H16</f>
        <v>404</v>
      </c>
      <c r="K16" s="111">
        <f t="shared" ref="K16" si="25">I16*G16</f>
        <v>6.8922690578063479</v>
      </c>
      <c r="L16" s="62">
        <f t="shared" ref="L16" si="26">J16/$J$28</f>
        <v>3.0809871995076464E-3</v>
      </c>
      <c r="N16" s="38"/>
      <c r="O16" s="38"/>
      <c r="P16" s="23"/>
      <c r="Q16" s="33"/>
      <c r="R16" s="24"/>
    </row>
    <row r="17" spans="3:18" ht="14.4" x14ac:dyDescent="0.3">
      <c r="C17" s="108"/>
      <c r="D17" s="41"/>
      <c r="E17" s="109"/>
      <c r="F17" s="110"/>
      <c r="G17" s="109"/>
      <c r="H17" s="109"/>
      <c r="I17" s="109"/>
      <c r="J17" s="111"/>
      <c r="K17" s="111"/>
      <c r="L17" s="62"/>
      <c r="N17" s="38"/>
      <c r="O17" s="38"/>
      <c r="P17" s="23"/>
      <c r="Q17" s="33"/>
      <c r="R17" s="33"/>
    </row>
    <row r="18" spans="3:18" ht="14.4" x14ac:dyDescent="0.3">
      <c r="C18" s="108"/>
      <c r="D18" s="41"/>
      <c r="E18" s="109"/>
      <c r="F18" s="110"/>
      <c r="G18" s="109"/>
      <c r="H18" s="109"/>
      <c r="I18" s="109"/>
      <c r="J18" s="111"/>
      <c r="K18" s="111"/>
      <c r="L18" s="62"/>
      <c r="N18" s="38"/>
      <c r="O18" s="38"/>
      <c r="P18" s="23"/>
      <c r="Q18" s="33"/>
      <c r="R18" s="33"/>
    </row>
    <row r="19" spans="3:18" ht="14.4" x14ac:dyDescent="0.3">
      <c r="C19" s="108"/>
      <c r="D19" s="41"/>
      <c r="E19" s="109"/>
      <c r="F19" s="110"/>
      <c r="G19" s="109"/>
      <c r="H19" s="109"/>
      <c r="I19" s="109"/>
      <c r="J19" s="111"/>
      <c r="K19" s="111"/>
      <c r="L19" s="62"/>
      <c r="N19" s="38"/>
      <c r="O19" s="38"/>
      <c r="P19" s="23"/>
      <c r="Q19" s="33"/>
      <c r="R19" s="33"/>
    </row>
    <row r="20" spans="3:18" ht="14.4" x14ac:dyDescent="0.3">
      <c r="C20" s="108"/>
      <c r="D20" s="41"/>
      <c r="E20" s="109"/>
      <c r="F20" s="110"/>
      <c r="G20" s="109"/>
      <c r="H20" s="109"/>
      <c r="I20" s="109"/>
      <c r="J20" s="111"/>
      <c r="K20" s="111"/>
      <c r="L20" s="62"/>
      <c r="N20" s="38"/>
      <c r="O20" s="40"/>
      <c r="P20" s="23"/>
      <c r="Q20" s="33"/>
      <c r="R20" s="33"/>
    </row>
    <row r="21" spans="3:18" ht="14.4" x14ac:dyDescent="0.3">
      <c r="C21" s="108"/>
      <c r="D21" s="41"/>
      <c r="E21" s="109"/>
      <c r="F21" s="110"/>
      <c r="G21" s="109"/>
      <c r="H21" s="109"/>
      <c r="I21" s="109"/>
      <c r="J21" s="111"/>
      <c r="K21" s="111"/>
      <c r="L21" s="62"/>
      <c r="N21" s="38"/>
      <c r="O21" s="38"/>
      <c r="P21" s="23"/>
      <c r="Q21" s="33"/>
      <c r="R21" s="33"/>
    </row>
    <row r="22" spans="3:18" ht="14.4" x14ac:dyDescent="0.3">
      <c r="C22" s="108"/>
      <c r="D22" s="41"/>
      <c r="E22" s="109"/>
      <c r="F22" s="110"/>
      <c r="G22" s="109"/>
      <c r="H22" s="109"/>
      <c r="I22" s="109"/>
      <c r="J22" s="111"/>
      <c r="K22" s="111"/>
      <c r="L22" s="62"/>
      <c r="N22" s="35"/>
      <c r="O22" s="35"/>
      <c r="P22" s="23"/>
      <c r="Q22" s="33"/>
      <c r="R22" s="33"/>
    </row>
    <row r="23" spans="3:18" s="99" customFormat="1" ht="14.4" x14ac:dyDescent="0.3">
      <c r="C23" s="108"/>
      <c r="D23" s="108"/>
      <c r="E23" s="112"/>
      <c r="F23" s="108"/>
      <c r="G23" s="113">
        <v>0</v>
      </c>
      <c r="H23" s="114">
        <v>0</v>
      </c>
      <c r="I23" s="115">
        <f t="shared" si="0"/>
        <v>0</v>
      </c>
      <c r="J23" s="115">
        <f>H23*G23</f>
        <v>0</v>
      </c>
      <c r="K23" s="115">
        <f t="shared" ref="K23" si="27">I23*G23</f>
        <v>0</v>
      </c>
      <c r="L23" s="116">
        <f>J23/$J$28</f>
        <v>0</v>
      </c>
      <c r="N23" s="100"/>
    </row>
    <row r="24" spans="3:18" x14ac:dyDescent="0.25">
      <c r="C24" s="117" t="s">
        <v>12</v>
      </c>
      <c r="D24" s="117"/>
      <c r="E24" s="117"/>
      <c r="F24" s="117"/>
      <c r="G24" s="117"/>
      <c r="H24" s="117"/>
      <c r="I24" s="117"/>
      <c r="J24" s="118">
        <f>SUM(J9:J23)</f>
        <v>131126.80249517452</v>
      </c>
      <c r="K24" s="118">
        <f>SUM(K9:K23)</f>
        <v>2237.032681897465</v>
      </c>
      <c r="L24" s="119">
        <f>SUM(L9:L23)</f>
        <v>1</v>
      </c>
      <c r="N24" s="20"/>
      <c r="O24" s="20"/>
    </row>
    <row r="25" spans="3:18" ht="15" thickBot="1" x14ac:dyDescent="0.35">
      <c r="C25" s="120" t="s">
        <v>13</v>
      </c>
      <c r="D25" s="120"/>
      <c r="E25" s="120"/>
      <c r="F25" s="120"/>
      <c r="G25" s="120"/>
      <c r="H25" s="120"/>
      <c r="I25" s="120"/>
      <c r="J25" s="121">
        <f>+J24*Summary!$K$8</f>
        <v>0</v>
      </c>
      <c r="K25" s="111">
        <f>J25/$E$4</f>
        <v>0</v>
      </c>
      <c r="L25" s="62">
        <f>J25/J28</f>
        <v>0</v>
      </c>
      <c r="M25" s="3"/>
      <c r="N25" s="3"/>
      <c r="Q25" s="3"/>
    </row>
    <row r="26" spans="3:18" ht="14.4" x14ac:dyDescent="0.3">
      <c r="C26" s="120" t="s">
        <v>14</v>
      </c>
      <c r="D26" s="120"/>
      <c r="E26" s="120"/>
      <c r="F26" s="120"/>
      <c r="G26" s="120"/>
      <c r="H26" s="120"/>
      <c r="I26" s="120"/>
      <c r="J26" s="121">
        <f>J24*Summary!$K$9</f>
        <v>0</v>
      </c>
      <c r="K26" s="111">
        <f>J26/$E$4</f>
        <v>0</v>
      </c>
      <c r="L26" s="62">
        <f>J26/$J$28</f>
        <v>0</v>
      </c>
      <c r="N26" s="6" t="s">
        <v>15</v>
      </c>
      <c r="O26" s="7"/>
    </row>
    <row r="27" spans="3:18" ht="14.4" x14ac:dyDescent="0.3">
      <c r="C27" s="120" t="s">
        <v>16</v>
      </c>
      <c r="D27" s="120"/>
      <c r="E27" s="120"/>
      <c r="F27" s="120"/>
      <c r="G27" s="120"/>
      <c r="H27" s="120"/>
      <c r="I27" s="120"/>
      <c r="J27" s="121">
        <f>J24*Summary!$K$10</f>
        <v>0</v>
      </c>
      <c r="K27" s="111">
        <f>J27/$E$4</f>
        <v>0</v>
      </c>
      <c r="L27" s="62">
        <f>J27/$J$28</f>
        <v>0</v>
      </c>
      <c r="N27" s="8" t="s">
        <v>17</v>
      </c>
      <c r="O27" s="9">
        <f>O26-K28</f>
        <v>-2237.032681897465</v>
      </c>
    </row>
    <row r="28" spans="3:18" ht="13.8" thickBot="1" x14ac:dyDescent="0.3">
      <c r="C28" s="117" t="s">
        <v>18</v>
      </c>
      <c r="D28" s="117"/>
      <c r="E28" s="117"/>
      <c r="F28" s="117"/>
      <c r="G28" s="117"/>
      <c r="H28" s="117"/>
      <c r="I28" s="117"/>
      <c r="J28" s="122">
        <f>SUM(J24:J27)</f>
        <v>131126.80249517452</v>
      </c>
      <c r="K28" s="122">
        <f>SUM(K24:K27)</f>
        <v>2237.032681897465</v>
      </c>
      <c r="L28" s="119">
        <f>SUM(L24:L27)</f>
        <v>1</v>
      </c>
      <c r="N28" s="10" t="s">
        <v>4</v>
      </c>
      <c r="O28" s="11" t="e">
        <f>O27/O26</f>
        <v>#DIV/0!</v>
      </c>
    </row>
    <row r="29" spans="3:18" x14ac:dyDescent="0.25">
      <c r="J29" s="106"/>
      <c r="K29" s="107"/>
    </row>
    <row r="30" spans="3:18" x14ac:dyDescent="0.25">
      <c r="F30" s="43" t="s">
        <v>125</v>
      </c>
      <c r="G30" s="43" t="s">
        <v>126</v>
      </c>
      <c r="H30" s="43" t="s">
        <v>127</v>
      </c>
      <c r="I30" s="43" t="s">
        <v>128</v>
      </c>
      <c r="J30" s="43" t="s">
        <v>129</v>
      </c>
      <c r="K30" s="43" t="s">
        <v>130</v>
      </c>
    </row>
    <row r="31" spans="3:18" ht="14.4" x14ac:dyDescent="0.3">
      <c r="F31" s="55"/>
      <c r="G31" s="41">
        <v>0</v>
      </c>
      <c r="H31" s="72">
        <v>0</v>
      </c>
      <c r="I31" s="95" t="e">
        <f>IF($N$23="Supported",VLOOKUP(F31,#REF!,2,0)*1.25,VLOOKUP(F31,#REF!,2,0))</f>
        <v>#REF!</v>
      </c>
      <c r="J31" s="72">
        <f>H31*G31</f>
        <v>0</v>
      </c>
      <c r="K31" s="72" t="e">
        <f>I31*G31</f>
        <v>#REF!</v>
      </c>
    </row>
    <row r="32" spans="3:18" ht="14.4" x14ac:dyDescent="0.3">
      <c r="F32" s="55"/>
      <c r="G32" s="41">
        <v>0</v>
      </c>
      <c r="H32" s="72">
        <v>0</v>
      </c>
      <c r="I32" s="95" t="e">
        <f>IF($N$23="Supported",VLOOKUP(F32,#REF!,2,0)*1.25,VLOOKUP(F32,#REF!,2,0))</f>
        <v>#REF!</v>
      </c>
      <c r="J32" s="72">
        <f>H32*G32</f>
        <v>0</v>
      </c>
      <c r="K32" s="72" t="e">
        <f>I32*G32</f>
        <v>#REF!</v>
      </c>
    </row>
    <row r="33" spans="4:11" x14ac:dyDescent="0.25">
      <c r="J33" s="96">
        <f>SUM(J31:J32)</f>
        <v>0</v>
      </c>
      <c r="K33" s="96" t="e">
        <f>SUM(K31:K32)</f>
        <v>#REF!</v>
      </c>
    </row>
    <row r="34" spans="4:11" x14ac:dyDescent="0.25">
      <c r="J34" s="97"/>
      <c r="K34" s="98" t="e">
        <f>K33/J33*1000</f>
        <v>#REF!</v>
      </c>
    </row>
    <row r="35" spans="4:11" x14ac:dyDescent="0.25">
      <c r="D35" s="31" t="s">
        <v>134</v>
      </c>
      <c r="E35" s="31" t="s">
        <v>135</v>
      </c>
      <c r="F35" s="31" t="s">
        <v>136</v>
      </c>
      <c r="G35" s="31" t="s">
        <v>136</v>
      </c>
    </row>
    <row r="36" spans="4:11" x14ac:dyDescent="0.25">
      <c r="D36" s="61" t="s">
        <v>138</v>
      </c>
      <c r="E36" s="68"/>
      <c r="F36" s="42">
        <f>E36/1000*(2000-H31)</f>
        <v>0</v>
      </c>
      <c r="G36" s="74" t="e">
        <f>+F36/E36</f>
        <v>#DIV/0!</v>
      </c>
    </row>
    <row r="37" spans="4:11" x14ac:dyDescent="0.25">
      <c r="D37" s="61" t="s">
        <v>101</v>
      </c>
      <c r="E37" s="68"/>
      <c r="F37" s="42">
        <f>E37/1000*(2000-H32)</f>
        <v>0</v>
      </c>
      <c r="G37" s="74" t="e">
        <f>+F37/E37</f>
        <v>#DIV/0!</v>
      </c>
    </row>
    <row r="38" spans="4:11" x14ac:dyDescent="0.25">
      <c r="D38" s="91" t="s">
        <v>137</v>
      </c>
      <c r="E38" s="92">
        <f>+E37*K6</f>
        <v>0</v>
      </c>
      <c r="F38" s="93">
        <f>+SUM(F36:F37)</f>
        <v>0</v>
      </c>
      <c r="G38" s="94" t="e">
        <f>+F38/E38</f>
        <v>#DIV/0!</v>
      </c>
    </row>
  </sheetData>
  <mergeCells count="5">
    <mergeCell ref="C27:I27"/>
    <mergeCell ref="C28:I28"/>
    <mergeCell ref="C24:I24"/>
    <mergeCell ref="C25:I25"/>
    <mergeCell ref="C26:I26"/>
  </mergeCells>
  <conditionalFormatting sqref="C9:C23">
    <cfRule type="duplicateValues" dxfId="7" priority="2"/>
  </conditionalFormatting>
  <conditionalFormatting sqref="E9:E22">
    <cfRule type="duplicateValues" dxfId="6" priority="1"/>
  </conditionalFormatting>
  <dataValidations count="2">
    <dataValidation type="list" allowBlank="1" showInputMessage="1" showErrorMessage="1" sqref="N23" xr:uid="{00000000-0002-0000-0200-000000000000}">
      <formula1>#REF!</formula1>
    </dataValidation>
    <dataValidation type="list" allowBlank="1" showInputMessage="1" showErrorMessage="1" errorTitle="Packing Size" error="BOOOOOOOOOOOM" promptTitle="Packing Size" sqref="C23 F31:F32" xr:uid="{00000000-0002-0000-0200-000001000000}">
      <formula1>#REF!</formula1>
    </dataValidation>
  </dataValidations>
  <pageMargins left="0.70866141732283472" right="0.70866141732283472" top="0.74803149606299213" bottom="0.74803149606299213" header="0.31496062992125984" footer="0.31496062992125984"/>
  <pageSetup paperSize="9" scale="72" orientation="landscape" r:id="rId1"/>
  <ignoredErrors>
    <ignoredError sqref="J24:L28 L23 G15 G10:G13 G9 I9:L9 I15:L15 I10:L13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42"/>
  <sheetViews>
    <sheetView showGridLines="0" topLeftCell="B1" zoomScaleNormal="100" workbookViewId="0">
      <selection activeCell="D16" sqref="D16"/>
    </sheetView>
  </sheetViews>
  <sheetFormatPr defaultColWidth="9.109375" defaultRowHeight="13.2" x14ac:dyDescent="0.25"/>
  <cols>
    <col min="1" max="1" width="3" style="1" hidden="1" customWidth="1"/>
    <col min="2" max="2" width="2.109375" style="1" customWidth="1"/>
    <col min="3" max="3" width="14" style="1" bestFit="1" customWidth="1"/>
    <col min="4" max="4" width="50.77734375" style="1" bestFit="1" customWidth="1"/>
    <col min="5" max="5" width="12.88671875" style="1" bestFit="1" customWidth="1"/>
    <col min="6" max="6" width="9.77734375" style="1" bestFit="1" customWidth="1"/>
    <col min="7" max="7" width="17.5546875" style="1" bestFit="1" customWidth="1"/>
    <col min="8" max="8" width="11.33203125" style="1" customWidth="1"/>
    <col min="9" max="9" width="10.5546875" style="1" customWidth="1"/>
    <col min="10" max="10" width="22.33203125" style="1" bestFit="1" customWidth="1"/>
    <col min="11" max="11" width="12.109375" style="1" customWidth="1"/>
    <col min="12" max="12" width="7.6640625" style="1" bestFit="1" customWidth="1"/>
    <col min="13" max="13" width="0.6640625" style="1" customWidth="1"/>
    <col min="14" max="14" width="16.33203125" style="1" bestFit="1" customWidth="1"/>
    <col min="15" max="15" width="13.6640625" style="1" bestFit="1" customWidth="1"/>
    <col min="16" max="16384" width="9.109375" style="1"/>
  </cols>
  <sheetData>
    <row r="1" spans="2:18" ht="3" customHeight="1" x14ac:dyDescent="0.25"/>
    <row r="2" spans="2:18" x14ac:dyDescent="0.25">
      <c r="D2" s="56" t="s">
        <v>6</v>
      </c>
      <c r="E2" s="57">
        <f>Summary!$D$9</f>
        <v>3239.8751631032351</v>
      </c>
    </row>
    <row r="3" spans="2:18" x14ac:dyDescent="0.25">
      <c r="D3" s="56" t="s">
        <v>7</v>
      </c>
      <c r="E3" s="57">
        <f>Summary!$D$10</f>
        <v>14463.72840671087</v>
      </c>
      <c r="G3" s="1" t="s">
        <v>150</v>
      </c>
    </row>
    <row r="4" spans="2:18" x14ac:dyDescent="0.25">
      <c r="D4" s="56" t="str">
        <f>IF(Summary!H10="USD","USD Rate",IF(Summary!H10="Euro","Euro Rate","GBP Rate"))</f>
        <v>Euro Rate</v>
      </c>
      <c r="E4" s="5">
        <f>IF(Summary!H10="USD",Summary!K5,IF(Summary!H10="GBP",Summary!K7,Summary!K6))</f>
        <v>58.616399999999999</v>
      </c>
      <c r="J4" s="5" t="s">
        <v>153</v>
      </c>
      <c r="K4" s="25" t="s">
        <v>159</v>
      </c>
    </row>
    <row r="5" spans="2:18" ht="4.5" customHeight="1" x14ac:dyDescent="0.25"/>
    <row r="6" spans="2:18" x14ac:dyDescent="0.25">
      <c r="D6" s="4" t="s">
        <v>156</v>
      </c>
      <c r="J6" s="5" t="s">
        <v>5</v>
      </c>
      <c r="K6" s="25">
        <f>Summary!D14</f>
        <v>1</v>
      </c>
      <c r="N6" s="33"/>
      <c r="O6" s="33"/>
      <c r="P6" s="34"/>
      <c r="Q6" s="34"/>
      <c r="R6" s="33"/>
    </row>
    <row r="7" spans="2:18" ht="4.5" customHeight="1" x14ac:dyDescent="0.25">
      <c r="N7" s="33"/>
      <c r="O7" s="33"/>
      <c r="P7" s="33"/>
      <c r="Q7" s="33"/>
      <c r="R7" s="33"/>
    </row>
    <row r="8" spans="2:18" s="2" customFormat="1" ht="26.4" x14ac:dyDescent="0.3">
      <c r="C8" s="77" t="s">
        <v>0</v>
      </c>
      <c r="D8" s="77" t="s">
        <v>1</v>
      </c>
      <c r="E8" s="77" t="s">
        <v>9</v>
      </c>
      <c r="F8" s="77" t="s">
        <v>10</v>
      </c>
      <c r="G8" s="78" t="s">
        <v>11</v>
      </c>
      <c r="H8" s="78" t="s">
        <v>2</v>
      </c>
      <c r="I8" s="78" t="str">
        <f>IF(Summary!H10="USD","Unit Price USD",IF(Summary!H10="GBP","Unit Price GBP","Unit Price Euro"))</f>
        <v>Unit Price Euro</v>
      </c>
      <c r="J8" s="77" t="s">
        <v>3</v>
      </c>
      <c r="K8" s="77" t="str">
        <f>IF(Summary!H10="USD","Value USD",IF(Summary!H10="GBP","Value GBP","Value Euro"))</f>
        <v>Value Euro</v>
      </c>
      <c r="L8" s="77" t="s">
        <v>4</v>
      </c>
      <c r="N8" s="35"/>
      <c r="O8" s="35"/>
      <c r="P8" s="35"/>
      <c r="Q8" s="35"/>
      <c r="R8" s="35"/>
    </row>
    <row r="9" spans="2:18" ht="14.4" x14ac:dyDescent="0.3">
      <c r="B9" s="1" t="str">
        <f>+IF(C9="CR01","CU",IF(C9="CR02","CU",IF(C9="AR01","AL",IF(C9="AR02","AL",IF(C9="AR08","AL",IF(C9="AR03","AL"))))))</f>
        <v>CU</v>
      </c>
      <c r="C9" s="108" t="s">
        <v>27</v>
      </c>
      <c r="D9" s="41" t="str">
        <f>VLOOKUP(C9,'Materials List'!$B$6:$F$42,2,0)</f>
        <v>Copper Rod "8mm"</v>
      </c>
      <c r="E9" s="109">
        <v>8217.4500000000007</v>
      </c>
      <c r="F9" s="110">
        <v>0.01</v>
      </c>
      <c r="G9" s="109">
        <f>E9+(E9*F9)</f>
        <v>8299.6244999999999</v>
      </c>
      <c r="H9" s="109">
        <f>VLOOKUP(C9,'Materials List'!$B$6:$F$53,5,0)</f>
        <v>760.82024549999983</v>
      </c>
      <c r="I9" s="109">
        <f t="shared" ref="I9:I27" si="0">H9/$E$4</f>
        <v>12.979648110426432</v>
      </c>
      <c r="J9" s="111">
        <f>G9*H9</f>
        <v>6314522.3496478135</v>
      </c>
      <c r="K9" s="111">
        <f>I9*G9</f>
        <v>107726.20545867391</v>
      </c>
      <c r="L9" s="62">
        <f t="shared" ref="L9:L18" si="1">J9/$J$32</f>
        <v>0.9455995528122757</v>
      </c>
      <c r="M9" s="3"/>
      <c r="N9" s="35"/>
      <c r="O9" s="35"/>
      <c r="P9" s="23"/>
      <c r="Q9" s="33"/>
      <c r="R9" s="24"/>
    </row>
    <row r="10" spans="2:18" ht="14.4" x14ac:dyDescent="0.3">
      <c r="C10" s="108" t="s">
        <v>92</v>
      </c>
      <c r="D10" s="41" t="str">
        <f>VLOOKUP(C10,'Materials List'!$B$6:$F$42,2,0)</f>
        <v>XLPE Insulation ForBasec</v>
      </c>
      <c r="E10" s="109">
        <v>420.76</v>
      </c>
      <c r="F10" s="110">
        <v>0.01</v>
      </c>
      <c r="G10" s="109">
        <f t="shared" ref="G10:G18" si="2">E10+(E10*F10)</f>
        <v>424.9676</v>
      </c>
      <c r="H10" s="109">
        <f>VLOOKUP(C10,'Materials List'!$B$6:$F$53,5,0)</f>
        <v>96.250389999999996</v>
      </c>
      <c r="I10" s="109">
        <f t="shared" si="0"/>
        <v>1.6420385762346374</v>
      </c>
      <c r="J10" s="111">
        <f t="shared" ref="J10:J18" si="3">G10*H10</f>
        <v>40903.297237364</v>
      </c>
      <c r="K10" s="111">
        <f t="shared" ref="K10:K18" si="4">I10*G10</f>
        <v>697.81319284985091</v>
      </c>
      <c r="L10" s="62">
        <f t="shared" si="1"/>
        <v>6.1252676662639774E-3</v>
      </c>
      <c r="N10" s="36"/>
      <c r="O10" s="36"/>
      <c r="P10" s="37"/>
      <c r="Q10" s="33"/>
      <c r="R10" s="24"/>
    </row>
    <row r="11" spans="2:18" ht="14.4" x14ac:dyDescent="0.3">
      <c r="C11" s="108" t="s">
        <v>93</v>
      </c>
      <c r="D11" s="41" t="str">
        <f>VLOOKUP(C11,'Materials List'!$B$6:$F$42,2,0)</f>
        <v>Catalyst for PE insulation mat</v>
      </c>
      <c r="E11" s="109">
        <v>22.15</v>
      </c>
      <c r="F11" s="110">
        <v>0.01</v>
      </c>
      <c r="G11" s="109">
        <f t="shared" si="2"/>
        <v>22.371499999999997</v>
      </c>
      <c r="H11" s="109">
        <f>VLOOKUP(C11,'Materials List'!$B$6:$F$53,5,0)</f>
        <v>233.02725999999998</v>
      </c>
      <c r="I11" s="109">
        <f t="shared" si="0"/>
        <v>3.9754618161470168</v>
      </c>
      <c r="J11" s="111">
        <f t="shared" si="3"/>
        <v>5213.1693470899991</v>
      </c>
      <c r="K11" s="111">
        <f t="shared" si="4"/>
        <v>88.937044019932969</v>
      </c>
      <c r="L11" s="62">
        <f t="shared" si="1"/>
        <v>7.8067197016380946E-4</v>
      </c>
      <c r="N11" s="36"/>
      <c r="O11" s="36"/>
      <c r="P11" s="23"/>
      <c r="Q11" s="33"/>
      <c r="R11" s="24"/>
    </row>
    <row r="12" spans="2:18" ht="14.4" x14ac:dyDescent="0.3">
      <c r="C12" s="108" t="s">
        <v>59</v>
      </c>
      <c r="D12" s="41" t="str">
        <f>VLOOKUP(C12,'Materials List'!$B$6:$F$42,2,0)</f>
        <v>Chalk Powder</v>
      </c>
      <c r="E12" s="109">
        <v>2.5</v>
      </c>
      <c r="F12" s="110">
        <v>0.01</v>
      </c>
      <c r="G12" s="109">
        <f t="shared" si="2"/>
        <v>2.5249999999999999</v>
      </c>
      <c r="H12" s="109">
        <f>VLOOKUP(C12,'Materials List'!$B$6:$F$53,5,0)</f>
        <v>12.6</v>
      </c>
      <c r="I12" s="109">
        <f t="shared" si="0"/>
        <v>0.21495690625831679</v>
      </c>
      <c r="J12" s="111">
        <f t="shared" si="3"/>
        <v>31.814999999999998</v>
      </c>
      <c r="K12" s="111">
        <f t="shared" si="4"/>
        <v>0.54276618830224987</v>
      </c>
      <c r="L12" s="62">
        <f t="shared" si="1"/>
        <v>4.7642953982735475E-6</v>
      </c>
      <c r="N12" s="36"/>
      <c r="O12" s="36"/>
      <c r="P12" s="23"/>
      <c r="Q12" s="33"/>
      <c r="R12" s="24"/>
    </row>
    <row r="13" spans="2:18" ht="14.4" x14ac:dyDescent="0.3">
      <c r="C13" s="108" t="s">
        <v>132</v>
      </c>
      <c r="D13" s="41" t="str">
        <f>VLOOKUP(C13,'Materials List'!$B$6:$F$42,2,0)</f>
        <v>Sheath Bedding</v>
      </c>
      <c r="E13" s="109">
        <v>270.61</v>
      </c>
      <c r="F13" s="110">
        <v>0.01</v>
      </c>
      <c r="G13" s="109">
        <f t="shared" si="2"/>
        <v>273.31610000000001</v>
      </c>
      <c r="H13" s="109">
        <f>VLOOKUP(C13,'Materials List'!$B$6:$F$53,5,0)</f>
        <v>85.579943999999998</v>
      </c>
      <c r="I13" s="109">
        <f t="shared" si="0"/>
        <v>1.46</v>
      </c>
      <c r="J13" s="111">
        <f t="shared" si="3"/>
        <v>23390.3765322984</v>
      </c>
      <c r="K13" s="111">
        <f t="shared" si="4"/>
        <v>399.04150600000003</v>
      </c>
      <c r="L13" s="62">
        <f t="shared" si="1"/>
        <v>3.5027082595227048E-3</v>
      </c>
      <c r="N13" s="38"/>
      <c r="O13" s="36"/>
      <c r="P13" s="23"/>
      <c r="Q13" s="33"/>
      <c r="R13" s="24"/>
    </row>
    <row r="14" spans="2:18" ht="14.4" x14ac:dyDescent="0.3">
      <c r="C14" s="108" t="s">
        <v>78</v>
      </c>
      <c r="D14" s="41" t="str">
        <f>VLOOKUP(C14,'Materials List'!$B$6:$F$42,2,0)</f>
        <v>Color Master Batch for XLPE in</v>
      </c>
      <c r="E14" s="109">
        <v>0.85</v>
      </c>
      <c r="F14" s="110">
        <v>0.01</v>
      </c>
      <c r="G14" s="109">
        <f t="shared" si="2"/>
        <v>0.85849999999999993</v>
      </c>
      <c r="H14" s="109">
        <f>VLOOKUP(C14,'Materials List'!$B$6:$F$53,5,0)</f>
        <v>206</v>
      </c>
      <c r="I14" s="109">
        <f t="shared" si="0"/>
        <v>3.514374816604227</v>
      </c>
      <c r="J14" s="111">
        <f t="shared" si="3"/>
        <v>176.851</v>
      </c>
      <c r="K14" s="111">
        <f t="shared" si="4"/>
        <v>3.0170907800547289</v>
      </c>
      <c r="L14" s="62">
        <f t="shared" si="1"/>
        <v>2.6483432515482485E-5</v>
      </c>
      <c r="N14" s="36"/>
      <c r="O14" s="36"/>
      <c r="P14" s="23"/>
      <c r="Q14" s="33"/>
      <c r="R14" s="24"/>
    </row>
    <row r="15" spans="2:18" ht="14.4" x14ac:dyDescent="0.3">
      <c r="C15" s="108" t="s">
        <v>157</v>
      </c>
      <c r="D15" s="41" t="str">
        <f>VLOOKUP(C15,'Materials List'!$B$6:$F$42,2,0)</f>
        <v>Color Master Batch for XLPE in</v>
      </c>
      <c r="E15" s="109">
        <v>0.85</v>
      </c>
      <c r="F15" s="110">
        <v>0.01</v>
      </c>
      <c r="G15" s="109">
        <f t="shared" si="2"/>
        <v>0.85849999999999993</v>
      </c>
      <c r="H15" s="109">
        <f>VLOOKUP(C15,'Materials List'!$B$6:$F$53,5,0)</f>
        <v>206</v>
      </c>
      <c r="I15" s="109">
        <f t="shared" si="0"/>
        <v>3.514374816604227</v>
      </c>
      <c r="J15" s="111">
        <f t="shared" si="3"/>
        <v>176.851</v>
      </c>
      <c r="K15" s="111">
        <f t="shared" si="4"/>
        <v>3.0170907800547289</v>
      </c>
      <c r="L15" s="62">
        <f t="shared" si="1"/>
        <v>2.6483432515482485E-5</v>
      </c>
      <c r="N15" s="38"/>
      <c r="O15" s="38"/>
      <c r="P15" s="39"/>
      <c r="R15" s="24"/>
    </row>
    <row r="16" spans="2:18" ht="14.4" x14ac:dyDescent="0.3">
      <c r="C16" s="108" t="s">
        <v>76</v>
      </c>
      <c r="D16" s="41" t="str">
        <f>VLOOKUP(C16,'Materials List'!$B$6:$F$42,2,0)</f>
        <v>Color Master Batch for XLPE in</v>
      </c>
      <c r="E16" s="109">
        <v>0.85</v>
      </c>
      <c r="F16" s="110">
        <v>0.01</v>
      </c>
      <c r="G16" s="109">
        <f t="shared" si="2"/>
        <v>0.85849999999999993</v>
      </c>
      <c r="H16" s="109">
        <f>VLOOKUP(C16,'Materials List'!$B$6:$F$53,5,0)</f>
        <v>192</v>
      </c>
      <c r="I16" s="109">
        <f t="shared" si="0"/>
        <v>3.2755338096505415</v>
      </c>
      <c r="J16" s="111">
        <f t="shared" si="3"/>
        <v>164.83199999999999</v>
      </c>
      <c r="K16" s="111">
        <f t="shared" si="4"/>
        <v>2.8120457755849895</v>
      </c>
      <c r="L16" s="62">
        <f t="shared" si="1"/>
        <v>2.4683587587245811E-5</v>
      </c>
      <c r="N16" s="38"/>
      <c r="O16" s="38"/>
      <c r="P16" s="23"/>
      <c r="Q16" s="33"/>
      <c r="R16" s="24"/>
    </row>
    <row r="17" spans="3:18" ht="14.4" x14ac:dyDescent="0.3">
      <c r="C17" s="108" t="s">
        <v>82</v>
      </c>
      <c r="D17" s="41" t="str">
        <f>VLOOKUP(C17,'Materials List'!$B$6:$F$42,2,0)</f>
        <v>Color Master Batch for XLPE in</v>
      </c>
      <c r="E17" s="109">
        <v>0.85</v>
      </c>
      <c r="F17" s="110">
        <v>0.01</v>
      </c>
      <c r="G17" s="109">
        <f t="shared" si="2"/>
        <v>0.85849999999999993</v>
      </c>
      <c r="H17" s="109">
        <f>VLOOKUP(C17,'Materials List'!$B$6:$F$53,5,0)</f>
        <v>168</v>
      </c>
      <c r="I17" s="109">
        <f t="shared" si="0"/>
        <v>2.8660920834442241</v>
      </c>
      <c r="J17" s="111">
        <f t="shared" si="3"/>
        <v>144.22799999999998</v>
      </c>
      <c r="K17" s="111">
        <f t="shared" si="4"/>
        <v>2.460540053636866</v>
      </c>
      <c r="L17" s="62">
        <f t="shared" si="1"/>
        <v>2.159813913884008E-5</v>
      </c>
      <c r="N17" s="38"/>
      <c r="O17" s="38"/>
      <c r="P17" s="23"/>
      <c r="Q17" s="33"/>
      <c r="R17" s="33"/>
    </row>
    <row r="18" spans="3:18" ht="14.4" x14ac:dyDescent="0.3">
      <c r="C18" s="108" t="s">
        <v>80</v>
      </c>
      <c r="D18" s="41" t="str">
        <f>VLOOKUP(C18,'Materials List'!$B$6:$F$42,2,0)</f>
        <v>Color Master Batch for XLPE in</v>
      </c>
      <c r="E18" s="109">
        <v>0.6</v>
      </c>
      <c r="F18" s="110">
        <v>0.01</v>
      </c>
      <c r="G18" s="109">
        <f t="shared" si="2"/>
        <v>0.60599999999999998</v>
      </c>
      <c r="H18" s="109">
        <f>VLOOKUP(C18,'Materials List'!$B$6:$F$53,5,0)</f>
        <v>197.5</v>
      </c>
      <c r="I18" s="109">
        <f t="shared" si="0"/>
        <v>3.3693642052394894</v>
      </c>
      <c r="J18" s="111">
        <f t="shared" si="3"/>
        <v>119.685</v>
      </c>
      <c r="K18" s="111">
        <f t="shared" si="4"/>
        <v>2.0418347083751307</v>
      </c>
      <c r="L18" s="62">
        <f t="shared" si="1"/>
        <v>1.7922825545886204E-5</v>
      </c>
      <c r="N18" s="38"/>
      <c r="O18" s="38"/>
      <c r="P18" s="23"/>
      <c r="Q18" s="33"/>
      <c r="R18" s="33"/>
    </row>
    <row r="19" spans="3:18" ht="14.4" x14ac:dyDescent="0.3">
      <c r="C19" s="108" t="s">
        <v>81</v>
      </c>
      <c r="D19" s="41" t="str">
        <f>VLOOKUP(C19,'Materials List'!$B$6:$F$42,2,0)</f>
        <v>Color Master Batch for XLPE in</v>
      </c>
      <c r="E19" s="109">
        <v>0.26</v>
      </c>
      <c r="F19" s="110">
        <v>0.01</v>
      </c>
      <c r="G19" s="109">
        <f t="shared" ref="G19:G20" si="5">E19+(E19*F19)</f>
        <v>0.2626</v>
      </c>
      <c r="H19" s="109">
        <f>VLOOKUP(C19,'Materials List'!$B$6:$F$53,5,0)</f>
        <v>189</v>
      </c>
      <c r="I19" s="109">
        <f t="shared" ref="I19:I20" si="6">H19/$E$4</f>
        <v>3.2243535938747518</v>
      </c>
      <c r="J19" s="111">
        <f t="shared" ref="J19:J20" si="7">G19*H19</f>
        <v>49.631399999999999</v>
      </c>
      <c r="K19" s="111">
        <f t="shared" ref="K19:K20" si="8">I19*G19</f>
        <v>0.8467152537515098</v>
      </c>
      <c r="L19" s="62">
        <f t="shared" ref="L19:L20" si="9">J19/$J$32</f>
        <v>7.4323008213067347E-6</v>
      </c>
      <c r="N19" s="38"/>
      <c r="O19" s="38"/>
      <c r="P19" s="23"/>
      <c r="Q19" s="33"/>
      <c r="R19" s="33"/>
    </row>
    <row r="20" spans="3:18" ht="14.4" x14ac:dyDescent="0.3">
      <c r="C20" s="108" t="s">
        <v>132</v>
      </c>
      <c r="D20" s="41" t="str">
        <f>VLOOKUP(C20,'Materials List'!$B$6:$F$42,2,0)</f>
        <v>Sheath Bedding</v>
      </c>
      <c r="E20" s="109">
        <v>1471</v>
      </c>
      <c r="F20" s="110">
        <v>0.01</v>
      </c>
      <c r="G20" s="109">
        <f t="shared" si="5"/>
        <v>1485.71</v>
      </c>
      <c r="H20" s="109">
        <f>VLOOKUP(C20,'Materials List'!$B$6:$F$53,5,0)</f>
        <v>85.579943999999998</v>
      </c>
      <c r="I20" s="109">
        <f t="shared" si="6"/>
        <v>1.46</v>
      </c>
      <c r="J20" s="111">
        <f t="shared" si="7"/>
        <v>127146.97860023999</v>
      </c>
      <c r="K20" s="111">
        <f t="shared" si="8"/>
        <v>2169.1365999999998</v>
      </c>
      <c r="L20" s="62">
        <f t="shared" si="9"/>
        <v>1.904025664150585E-2</v>
      </c>
      <c r="N20" s="38"/>
      <c r="O20" s="40"/>
      <c r="P20" s="23"/>
      <c r="Q20" s="33"/>
      <c r="R20" s="33"/>
    </row>
    <row r="21" spans="3:18" ht="14.4" x14ac:dyDescent="0.3">
      <c r="C21" s="108" t="s">
        <v>154</v>
      </c>
      <c r="D21" s="41" t="str">
        <f>VLOOKUP(C21,'Materials List'!$B$6:$F$42,2,0)</f>
        <v xml:space="preserve">Thermosetting compound Low smoke halogen free </v>
      </c>
      <c r="E21" s="109">
        <v>583</v>
      </c>
      <c r="F21" s="110">
        <v>0.01</v>
      </c>
      <c r="G21" s="109">
        <f t="shared" ref="G21:G24" si="10">E21+(E21*F21)</f>
        <v>588.83000000000004</v>
      </c>
      <c r="H21" s="109">
        <f>VLOOKUP(C21,'Materials List'!$B$6:$F$53,5,0)</f>
        <v>152.40263999999999</v>
      </c>
      <c r="I21" s="109">
        <f t="shared" ref="I21:I24" si="11">H21/$E$4</f>
        <v>2.6</v>
      </c>
      <c r="J21" s="111">
        <f t="shared" ref="J21:J24" si="12">G21*H21</f>
        <v>89739.246511200006</v>
      </c>
      <c r="K21" s="111">
        <f t="shared" ref="K21:K24" si="13">I21*G21</f>
        <v>1530.9580000000001</v>
      </c>
      <c r="L21" s="62">
        <f t="shared" ref="L21:L24" si="14">J21/$J$32</f>
        <v>1.3438449762622843E-2</v>
      </c>
      <c r="N21" s="38"/>
      <c r="O21" s="38"/>
      <c r="P21" s="23"/>
      <c r="Q21" s="33"/>
      <c r="R21" s="33"/>
    </row>
    <row r="22" spans="3:18" ht="14.4" x14ac:dyDescent="0.3">
      <c r="C22" s="108" t="s">
        <v>133</v>
      </c>
      <c r="D22" s="41" t="str">
        <f>VLOOKUP(C22,'Materials List'!$B$6:$F$42,2,0)</f>
        <v xml:space="preserve">Thermosetting compound Low smoke halogen free </v>
      </c>
      <c r="E22" s="109">
        <v>297.3</v>
      </c>
      <c r="F22" s="110">
        <v>0.01</v>
      </c>
      <c r="G22" s="109">
        <f t="shared" si="10"/>
        <v>300.27300000000002</v>
      </c>
      <c r="H22" s="109">
        <f>VLOOKUP(C22,'Materials List'!$B$6:$F$53,5,0)</f>
        <v>240.32723999999999</v>
      </c>
      <c r="I22" s="109">
        <f t="shared" si="11"/>
        <v>4.0999999999999996</v>
      </c>
      <c r="J22" s="111">
        <f t="shared" si="12"/>
        <v>72163.781336519998</v>
      </c>
      <c r="K22" s="111">
        <f t="shared" si="13"/>
        <v>1231.1193000000001</v>
      </c>
      <c r="L22" s="62">
        <f t="shared" si="14"/>
        <v>1.0806524323231205E-2</v>
      </c>
      <c r="N22" s="38"/>
      <c r="O22" s="38"/>
      <c r="P22" s="23"/>
      <c r="Q22" s="33"/>
      <c r="R22" s="33"/>
    </row>
    <row r="23" spans="3:18" ht="14.4" x14ac:dyDescent="0.3">
      <c r="C23" s="108" t="s">
        <v>67</v>
      </c>
      <c r="D23" s="41" t="str">
        <f>VLOOKUP(C23,'Materials List'!$B$6:$F$42,2,0)</f>
        <v xml:space="preserve">Color Master Batch for LSHF </v>
      </c>
      <c r="E23" s="109">
        <v>6.07</v>
      </c>
      <c r="F23" s="110">
        <v>0.01</v>
      </c>
      <c r="G23" s="109">
        <f t="shared" si="10"/>
        <v>6.1307</v>
      </c>
      <c r="H23" s="109">
        <f>VLOOKUP(C23,'Materials List'!$B$6:$F$53,5,0)</f>
        <v>562.81149100000005</v>
      </c>
      <c r="I23" s="109">
        <f t="shared" si="11"/>
        <v>9.6016045168246436</v>
      </c>
      <c r="J23" s="111">
        <f t="shared" si="12"/>
        <v>3450.4284078737005</v>
      </c>
      <c r="K23" s="111">
        <f t="shared" si="13"/>
        <v>58.864556811296843</v>
      </c>
      <c r="L23" s="62">
        <f t="shared" si="14"/>
        <v>5.1670156170689915E-4</v>
      </c>
      <c r="N23" s="38"/>
      <c r="O23" s="38"/>
      <c r="P23" s="23"/>
      <c r="Q23" s="33"/>
      <c r="R23" s="33"/>
    </row>
    <row r="24" spans="3:18" ht="14.4" x14ac:dyDescent="0.3">
      <c r="C24" s="108" t="s">
        <v>158</v>
      </c>
      <c r="D24" s="41" t="str">
        <f>VLOOKUP(C24,'Materials List'!$B$6:$F$42,2,0)</f>
        <v>A-ECAP10</v>
      </c>
      <c r="E24" s="109">
        <v>2</v>
      </c>
      <c r="F24" s="110">
        <v>0.01</v>
      </c>
      <c r="G24" s="109">
        <f t="shared" si="10"/>
        <v>2.02</v>
      </c>
      <c r="H24" s="109">
        <f>VLOOKUP(C24,'Materials List'!$B$6:$F$53,5,0)</f>
        <v>200</v>
      </c>
      <c r="I24" s="109">
        <f t="shared" si="11"/>
        <v>3.4120143850526476</v>
      </c>
      <c r="J24" s="111">
        <f t="shared" si="12"/>
        <v>404</v>
      </c>
      <c r="K24" s="111">
        <f t="shared" si="13"/>
        <v>6.8922690578063479</v>
      </c>
      <c r="L24" s="62">
        <f t="shared" si="14"/>
        <v>6.0498989184426009E-5</v>
      </c>
      <c r="N24" s="38"/>
      <c r="O24" s="38"/>
      <c r="P24" s="23"/>
      <c r="Q24" s="33"/>
      <c r="R24" s="33"/>
    </row>
    <row r="25" spans="3:18" ht="14.4" x14ac:dyDescent="0.3">
      <c r="C25" s="108"/>
      <c r="D25" s="41"/>
      <c r="E25" s="109"/>
      <c r="F25" s="110"/>
      <c r="G25" s="109"/>
      <c r="H25" s="109"/>
      <c r="I25" s="109"/>
      <c r="J25" s="111"/>
      <c r="K25" s="111"/>
      <c r="L25" s="62"/>
      <c r="N25" s="38"/>
      <c r="O25" s="38"/>
      <c r="P25" s="23"/>
      <c r="Q25" s="33"/>
      <c r="R25" s="33"/>
    </row>
    <row r="26" spans="3:18" ht="14.4" x14ac:dyDescent="0.3">
      <c r="C26" s="108"/>
      <c r="D26" s="41"/>
      <c r="E26" s="109"/>
      <c r="F26" s="110"/>
      <c r="G26" s="109"/>
      <c r="H26" s="109"/>
      <c r="I26" s="109"/>
      <c r="J26" s="111"/>
      <c r="K26" s="111"/>
      <c r="L26" s="62"/>
      <c r="N26" s="35"/>
      <c r="O26" s="35"/>
      <c r="P26" s="23"/>
      <c r="Q26" s="33"/>
      <c r="R26" s="33"/>
    </row>
    <row r="27" spans="3:18" s="99" customFormat="1" ht="14.4" x14ac:dyDescent="0.3">
      <c r="C27" s="108"/>
      <c r="D27" s="108"/>
      <c r="E27" s="112"/>
      <c r="F27" s="108"/>
      <c r="G27" s="113"/>
      <c r="H27" s="114"/>
      <c r="I27" s="115">
        <f t="shared" si="0"/>
        <v>0</v>
      </c>
      <c r="J27" s="115">
        <f>H27*G27</f>
        <v>0</v>
      </c>
      <c r="K27" s="115">
        <f t="shared" ref="K27" si="15">I27*G27</f>
        <v>0</v>
      </c>
      <c r="L27" s="116">
        <f>J27/$J$32</f>
        <v>0</v>
      </c>
      <c r="N27" s="100"/>
    </row>
    <row r="28" spans="3:18" x14ac:dyDescent="0.25">
      <c r="C28" s="117" t="s">
        <v>12</v>
      </c>
      <c r="D28" s="117"/>
      <c r="E28" s="117"/>
      <c r="F28" s="117"/>
      <c r="G28" s="117"/>
      <c r="H28" s="117"/>
      <c r="I28" s="117"/>
      <c r="J28" s="118">
        <f>SUM(J9:J27)</f>
        <v>6677797.5210204003</v>
      </c>
      <c r="K28" s="118">
        <f>SUM(K9:K27)</f>
        <v>113923.70601095253</v>
      </c>
      <c r="L28" s="119">
        <f>SUM(L9:L27)</f>
        <v>1</v>
      </c>
      <c r="N28" s="20"/>
      <c r="O28" s="20"/>
    </row>
    <row r="29" spans="3:18" ht="15" thickBot="1" x14ac:dyDescent="0.35">
      <c r="C29" s="120" t="s">
        <v>13</v>
      </c>
      <c r="D29" s="120"/>
      <c r="E29" s="120"/>
      <c r="F29" s="120"/>
      <c r="G29" s="120"/>
      <c r="H29" s="120"/>
      <c r="I29" s="120"/>
      <c r="J29" s="121">
        <f>+J28*Summary!$K$8</f>
        <v>0</v>
      </c>
      <c r="K29" s="111">
        <f>J29/$E$4</f>
        <v>0</v>
      </c>
      <c r="L29" s="62">
        <f>J29/J32</f>
        <v>0</v>
      </c>
      <c r="M29" s="3"/>
      <c r="N29" s="3"/>
      <c r="Q29" s="3"/>
    </row>
    <row r="30" spans="3:18" ht="14.4" x14ac:dyDescent="0.3">
      <c r="C30" s="120" t="s">
        <v>14</v>
      </c>
      <c r="D30" s="120"/>
      <c r="E30" s="120"/>
      <c r="F30" s="120"/>
      <c r="G30" s="120"/>
      <c r="H30" s="120"/>
      <c r="I30" s="120"/>
      <c r="J30" s="121">
        <f>J28*Summary!$K$9</f>
        <v>0</v>
      </c>
      <c r="K30" s="111">
        <f>J30/$E$4</f>
        <v>0</v>
      </c>
      <c r="L30" s="62">
        <f>J30/$J$32</f>
        <v>0</v>
      </c>
      <c r="N30" s="6" t="s">
        <v>15</v>
      </c>
      <c r="O30" s="7"/>
    </row>
    <row r="31" spans="3:18" ht="14.4" x14ac:dyDescent="0.3">
      <c r="C31" s="120" t="s">
        <v>16</v>
      </c>
      <c r="D31" s="120"/>
      <c r="E31" s="120"/>
      <c r="F31" s="120"/>
      <c r="G31" s="120"/>
      <c r="H31" s="120"/>
      <c r="I31" s="120"/>
      <c r="J31" s="121">
        <f>J28*Summary!$K$10</f>
        <v>0</v>
      </c>
      <c r="K31" s="111">
        <f>J31/$E$4</f>
        <v>0</v>
      </c>
      <c r="L31" s="62">
        <f>J31/$J$32</f>
        <v>0</v>
      </c>
      <c r="N31" s="8" t="s">
        <v>17</v>
      </c>
      <c r="O31" s="9">
        <f>O30-K32</f>
        <v>-113923.70601095253</v>
      </c>
    </row>
    <row r="32" spans="3:18" ht="13.8" thickBot="1" x14ac:dyDescent="0.3">
      <c r="C32" s="117" t="s">
        <v>18</v>
      </c>
      <c r="D32" s="117"/>
      <c r="E32" s="117"/>
      <c r="F32" s="117"/>
      <c r="G32" s="117"/>
      <c r="H32" s="117"/>
      <c r="I32" s="117"/>
      <c r="J32" s="122">
        <f>SUM(J28:J31)</f>
        <v>6677797.5210204003</v>
      </c>
      <c r="K32" s="122">
        <f>SUM(K28:K31)</f>
        <v>113923.70601095253</v>
      </c>
      <c r="L32" s="119">
        <f>SUM(L28:L31)</f>
        <v>1</v>
      </c>
      <c r="N32" s="10" t="s">
        <v>4</v>
      </c>
      <c r="O32" s="11" t="e">
        <f>O31/O30</f>
        <v>#DIV/0!</v>
      </c>
    </row>
    <row r="33" spans="4:11" x14ac:dyDescent="0.25">
      <c r="J33" s="3"/>
      <c r="K33" s="17"/>
    </row>
    <row r="34" spans="4:11" x14ac:dyDescent="0.25">
      <c r="F34" s="43" t="s">
        <v>125</v>
      </c>
      <c r="G34" s="43" t="s">
        <v>126</v>
      </c>
      <c r="H34" s="43" t="s">
        <v>127</v>
      </c>
      <c r="I34" s="43" t="s">
        <v>128</v>
      </c>
      <c r="J34" s="43" t="s">
        <v>129</v>
      </c>
      <c r="K34" s="43" t="s">
        <v>130</v>
      </c>
    </row>
    <row r="35" spans="4:11" ht="14.4" x14ac:dyDescent="0.3">
      <c r="F35" s="55"/>
      <c r="G35" s="41">
        <v>0</v>
      </c>
      <c r="H35" s="72">
        <v>0</v>
      </c>
      <c r="I35" s="95" t="e">
        <f>IF($N$27="Supported",VLOOKUP(F35,#REF!,2,0)*1.25,VLOOKUP(F35,#REF!,2,0))</f>
        <v>#REF!</v>
      </c>
      <c r="J35" s="72">
        <f>H35*G35</f>
        <v>0</v>
      </c>
      <c r="K35" s="72" t="e">
        <f>I35*G35</f>
        <v>#REF!</v>
      </c>
    </row>
    <row r="36" spans="4:11" ht="14.4" x14ac:dyDescent="0.3">
      <c r="F36" s="55"/>
      <c r="G36" s="41">
        <v>0</v>
      </c>
      <c r="H36" s="72">
        <v>0</v>
      </c>
      <c r="I36" s="95" t="e">
        <f>IF($N$27="Supported",VLOOKUP(F36,#REF!,2,0)*1.25,VLOOKUP(F36,#REF!,2,0))</f>
        <v>#REF!</v>
      </c>
      <c r="J36" s="72">
        <f>H36*G36</f>
        <v>0</v>
      </c>
      <c r="K36" s="72" t="e">
        <f>I36*G36</f>
        <v>#REF!</v>
      </c>
    </row>
    <row r="37" spans="4:11" x14ac:dyDescent="0.25">
      <c r="J37" s="96">
        <f>SUM(J35:J36)</f>
        <v>0</v>
      </c>
      <c r="K37" s="96" t="e">
        <f>SUM(K35:K36)</f>
        <v>#REF!</v>
      </c>
    </row>
    <row r="38" spans="4:11" x14ac:dyDescent="0.25">
      <c r="J38" s="97"/>
      <c r="K38" s="98" t="e">
        <f>K37/J37*1000</f>
        <v>#REF!</v>
      </c>
    </row>
    <row r="39" spans="4:11" x14ac:dyDescent="0.25">
      <c r="D39" s="67" t="s">
        <v>134</v>
      </c>
      <c r="E39" s="67" t="s">
        <v>135</v>
      </c>
      <c r="F39" s="67" t="s">
        <v>136</v>
      </c>
      <c r="G39" s="67" t="s">
        <v>136</v>
      </c>
    </row>
    <row r="40" spans="4:11" x14ac:dyDescent="0.25">
      <c r="D40" s="61" t="s">
        <v>138</v>
      </c>
      <c r="E40" s="68"/>
      <c r="F40" s="42">
        <f>E40/1000*(2000-H35)</f>
        <v>0</v>
      </c>
      <c r="G40" s="74" t="e">
        <f>+F40/E40</f>
        <v>#DIV/0!</v>
      </c>
    </row>
    <row r="41" spans="4:11" x14ac:dyDescent="0.25">
      <c r="D41" s="61" t="s">
        <v>101</v>
      </c>
      <c r="E41" s="68"/>
      <c r="F41" s="42">
        <f>E41/1000*(2000-H36)</f>
        <v>0</v>
      </c>
      <c r="G41" s="74" t="e">
        <f>+F41/E41</f>
        <v>#DIV/0!</v>
      </c>
    </row>
    <row r="42" spans="4:11" x14ac:dyDescent="0.25">
      <c r="D42" s="69" t="s">
        <v>137</v>
      </c>
      <c r="E42" s="70">
        <f>+E41*K6</f>
        <v>0</v>
      </c>
      <c r="F42" s="71">
        <f>+SUM(F40:F41)</f>
        <v>0</v>
      </c>
      <c r="G42" s="73" t="e">
        <f>+F42/E42</f>
        <v>#DIV/0!</v>
      </c>
    </row>
  </sheetData>
  <mergeCells count="5">
    <mergeCell ref="C28:I28"/>
    <mergeCell ref="C29:I29"/>
    <mergeCell ref="C30:I30"/>
    <mergeCell ref="C31:I31"/>
    <mergeCell ref="C32:I32"/>
  </mergeCells>
  <conditionalFormatting sqref="C9:C27">
    <cfRule type="duplicateValues" dxfId="5" priority="2"/>
  </conditionalFormatting>
  <conditionalFormatting sqref="E9:E26">
    <cfRule type="duplicateValues" dxfId="4" priority="1"/>
  </conditionalFormatting>
  <dataValidations count="2">
    <dataValidation type="list" allowBlank="1" showInputMessage="1" showErrorMessage="1" sqref="N27" xr:uid="{00000000-0002-0000-0300-000000000000}">
      <formula1>#REF!</formula1>
    </dataValidation>
    <dataValidation type="list" allowBlank="1" showInputMessage="1" showErrorMessage="1" errorTitle="Packing Size" error="BOOOOOOOOOOOM" promptTitle="Packing Size" sqref="C27 F35:F36" xr:uid="{00000000-0002-0000-0300-000001000000}">
      <formula1>#REF!</formula1>
    </dataValidation>
  </dataValidations>
  <pageMargins left="0.70866141732283472" right="0.70866141732283472" top="0.74803149606299213" bottom="0.74803149606299213" header="0.31496062992125984" footer="0.31496062992125984"/>
  <pageSetup paperSize="9" scale="7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2"/>
  <sheetViews>
    <sheetView showGridLines="0" topLeftCell="B8" zoomScale="90" zoomScaleNormal="90" workbookViewId="0">
      <selection activeCell="F23" sqref="F23"/>
    </sheetView>
  </sheetViews>
  <sheetFormatPr defaultColWidth="9.109375" defaultRowHeight="13.2" x14ac:dyDescent="0.25"/>
  <cols>
    <col min="1" max="1" width="3" style="1" hidden="1" customWidth="1"/>
    <col min="2" max="2" width="2.109375" style="1" customWidth="1"/>
    <col min="3" max="3" width="14" style="1" bestFit="1" customWidth="1"/>
    <col min="4" max="4" width="58.44140625" style="1" bestFit="1" customWidth="1"/>
    <col min="5" max="5" width="12.88671875" style="1" bestFit="1" customWidth="1"/>
    <col min="6" max="6" width="9.77734375" style="1" bestFit="1" customWidth="1"/>
    <col min="7" max="7" width="17.5546875" style="1" bestFit="1" customWidth="1"/>
    <col min="8" max="8" width="11.33203125" style="1" customWidth="1"/>
    <col min="9" max="9" width="10.5546875" style="1" customWidth="1"/>
    <col min="10" max="10" width="14.109375" style="1" bestFit="1" customWidth="1"/>
    <col min="11" max="11" width="12.109375" style="1" customWidth="1"/>
    <col min="12" max="12" width="7.6640625" style="1" bestFit="1" customWidth="1"/>
    <col min="13" max="13" width="0.6640625" style="1" customWidth="1"/>
    <col min="14" max="14" width="16.33203125" style="1" bestFit="1" customWidth="1"/>
    <col min="15" max="15" width="13.6640625" style="1" bestFit="1" customWidth="1"/>
    <col min="16" max="16384" width="9.109375" style="1"/>
  </cols>
  <sheetData>
    <row r="1" spans="2:18" ht="3" customHeight="1" x14ac:dyDescent="0.25"/>
    <row r="2" spans="2:18" x14ac:dyDescent="0.25">
      <c r="D2" s="56" t="s">
        <v>6</v>
      </c>
      <c r="E2" s="57">
        <f>Summary!$D$9</f>
        <v>3239.8751631032351</v>
      </c>
    </row>
    <row r="3" spans="2:18" x14ac:dyDescent="0.25">
      <c r="D3" s="56" t="s">
        <v>7</v>
      </c>
      <c r="E3" s="57">
        <f>Summary!$D$10</f>
        <v>14463.72840671087</v>
      </c>
    </row>
    <row r="4" spans="2:18" x14ac:dyDescent="0.25">
      <c r="D4" s="56" t="str">
        <f>IF(Summary!H10="USD","USD Rate",IF(Summary!H10="Euro","Euro Rate","GBP Rate"))</f>
        <v>Euro Rate</v>
      </c>
      <c r="E4" s="5">
        <f>IF(Summary!H10="USD",Summary!K5,IF(Summary!H10="GBP",Summary!K7,Summary!K6))</f>
        <v>58.616399999999999</v>
      </c>
      <c r="J4" s="5" t="s">
        <v>153</v>
      </c>
      <c r="K4" s="25" t="s">
        <v>164</v>
      </c>
      <c r="P4" s="1" t="s">
        <v>100</v>
      </c>
      <c r="Q4" s="1" t="s">
        <v>101</v>
      </c>
    </row>
    <row r="5" spans="2:18" ht="4.5" customHeight="1" x14ac:dyDescent="0.25"/>
    <row r="6" spans="2:18" x14ac:dyDescent="0.25">
      <c r="D6" s="4" t="s">
        <v>160</v>
      </c>
      <c r="J6" s="5" t="s">
        <v>5</v>
      </c>
      <c r="K6" s="25">
        <f>Summary!D15</f>
        <v>1</v>
      </c>
      <c r="N6" s="33"/>
      <c r="O6" s="33"/>
      <c r="P6" s="34">
        <f>+K6*1000</f>
        <v>1000</v>
      </c>
      <c r="Q6" s="34">
        <f>+E27</f>
        <v>1000</v>
      </c>
      <c r="R6" s="33"/>
    </row>
    <row r="7" spans="2:18" ht="4.5" customHeight="1" x14ac:dyDescent="0.25">
      <c r="N7" s="33"/>
      <c r="O7" s="33"/>
      <c r="P7" s="33"/>
      <c r="Q7" s="33"/>
      <c r="R7" s="33"/>
    </row>
    <row r="8" spans="2:18" s="2" customFormat="1" ht="26.4" x14ac:dyDescent="0.3">
      <c r="C8" s="77" t="s">
        <v>0</v>
      </c>
      <c r="D8" s="77" t="s">
        <v>1</v>
      </c>
      <c r="E8" s="77" t="s">
        <v>9</v>
      </c>
      <c r="F8" s="77" t="s">
        <v>10</v>
      </c>
      <c r="G8" s="78" t="s">
        <v>11</v>
      </c>
      <c r="H8" s="78" t="s">
        <v>2</v>
      </c>
      <c r="I8" s="78" t="str">
        <f>IF(Summary!H10="USD","Unit Price USD",IF(Summary!H10="GBP","Unit Price GBP","Unit Price Euro"))</f>
        <v>Unit Price Euro</v>
      </c>
      <c r="J8" s="77" t="s">
        <v>3</v>
      </c>
      <c r="K8" s="77" t="str">
        <f>IF(Summary!H10="USD","Value USD",IF(Summary!H10="GBP","Value GBP","Value Euro"))</f>
        <v>Value Euro</v>
      </c>
      <c r="L8" s="77" t="s">
        <v>4</v>
      </c>
      <c r="N8" s="35" t="s">
        <v>102</v>
      </c>
      <c r="O8" s="35"/>
      <c r="P8" s="35" t="s">
        <v>102</v>
      </c>
      <c r="Q8" s="35"/>
      <c r="R8" s="35"/>
    </row>
    <row r="9" spans="2:18" ht="14.4" x14ac:dyDescent="0.3">
      <c r="B9" s="1" t="s">
        <v>169</v>
      </c>
      <c r="C9" s="108" t="s">
        <v>63</v>
      </c>
      <c r="D9" s="41" t="str">
        <f>VLOOKUP(C9,'Materials List'!$B$6:$F$42,2,0)</f>
        <v>Water blocking yarn  3WY055 Tapes</v>
      </c>
      <c r="E9" s="109">
        <v>5</v>
      </c>
      <c r="F9" s="110">
        <f>+R9</f>
        <v>0.156</v>
      </c>
      <c r="G9" s="109">
        <f>E9+(E9*F9)</f>
        <v>5.78</v>
      </c>
      <c r="H9" s="109">
        <f>VLOOKUP(C9,'Materials List'!$B$6:$F$53,5,0)</f>
        <v>1109.0222879999999</v>
      </c>
      <c r="I9" s="109">
        <f t="shared" ref="I9:I27" si="0">H9/$E$4</f>
        <v>18.919999999999998</v>
      </c>
      <c r="J9" s="111">
        <f>G9*H9</f>
        <v>6410.1488246399995</v>
      </c>
      <c r="K9" s="111">
        <f>I9*G9</f>
        <v>109.35759999999999</v>
      </c>
      <c r="L9" s="62">
        <f>J9/$J$32</f>
        <v>1.6623879312987061E-2</v>
      </c>
      <c r="M9" s="3"/>
      <c r="N9" s="35" t="s">
        <v>103</v>
      </c>
      <c r="O9" s="35" t="s">
        <v>104</v>
      </c>
      <c r="P9" s="23">
        <f>40/(P6*1)</f>
        <v>0.04</v>
      </c>
      <c r="Q9" s="33" t="s">
        <v>105</v>
      </c>
      <c r="R9" s="24">
        <f>P9+P11+P16+P26</f>
        <v>0.156</v>
      </c>
    </row>
    <row r="10" spans="2:18" ht="14.4" x14ac:dyDescent="0.3">
      <c r="C10" s="108" t="s">
        <v>72</v>
      </c>
      <c r="D10" s="41" t="str">
        <f>VLOOKUP(C10,'Materials List'!$B$6:$F$42,2,0)</f>
        <v>Aluminum Rod H12 "9 mm"</v>
      </c>
      <c r="E10" s="109">
        <v>788.83</v>
      </c>
      <c r="F10" s="110">
        <f>+R16</f>
        <v>6.0000000000000001E-3</v>
      </c>
      <c r="G10" s="109">
        <f t="shared" ref="G10:G17" si="1">E10+(E10*F10)</f>
        <v>793.56298000000004</v>
      </c>
      <c r="H10" s="109">
        <f>VLOOKUP(C10,'Materials List'!$B$6:$F$53,5,0)</f>
        <v>203.38594749999999</v>
      </c>
      <c r="I10" s="109">
        <f t="shared" si="0"/>
        <v>3.4697788929378124</v>
      </c>
      <c r="J10" s="111">
        <f t="shared" ref="J10:J17" si="2">G10*H10</f>
        <v>161399.55858822356</v>
      </c>
      <c r="K10" s="111">
        <f t="shared" ref="K10:K17" si="3">I10*G10</f>
        <v>2753.4880782208315</v>
      </c>
      <c r="L10" s="62">
        <f>J10/$J$32</f>
        <v>0.41856856315511487</v>
      </c>
      <c r="N10" s="36" t="s">
        <v>106</v>
      </c>
      <c r="O10" s="36" t="s">
        <v>104</v>
      </c>
      <c r="P10" s="37"/>
      <c r="Q10" s="33" t="s">
        <v>107</v>
      </c>
      <c r="R10" s="24">
        <f>(P11+P13+P17+P26)</f>
        <v>0.29372511848341232</v>
      </c>
    </row>
    <row r="11" spans="2:18" ht="14.4" x14ac:dyDescent="0.3">
      <c r="C11" s="108" t="s">
        <v>144</v>
      </c>
      <c r="D11" s="41" t="str">
        <f>VLOOKUP(C11,'Materials List'!$B$6:$F$42,2,0)</f>
        <v>Non-Conductive Water Blocking</v>
      </c>
      <c r="E11" s="109">
        <v>35</v>
      </c>
      <c r="F11" s="110">
        <f>+R16</f>
        <v>6.0000000000000001E-3</v>
      </c>
      <c r="G11" s="109">
        <f t="shared" si="1"/>
        <v>35.21</v>
      </c>
      <c r="H11" s="109">
        <f>VLOOKUP(C11,'Materials List'!$B$6:$F$53,5,0)</f>
        <v>40.678454300000006</v>
      </c>
      <c r="I11" s="109">
        <f t="shared" si="0"/>
        <v>0.69397735616653367</v>
      </c>
      <c r="J11" s="111">
        <f t="shared" si="2"/>
        <v>1432.2883759030003</v>
      </c>
      <c r="K11" s="111">
        <f t="shared" si="3"/>
        <v>24.434942710623652</v>
      </c>
      <c r="L11" s="62">
        <f>J11/$J$32</f>
        <v>3.714451840943479E-3</v>
      </c>
      <c r="N11" s="36"/>
      <c r="O11" s="36" t="s">
        <v>107</v>
      </c>
      <c r="P11" s="23">
        <f>110/(P6*1)</f>
        <v>0.11</v>
      </c>
      <c r="Q11" s="33" t="s">
        <v>108</v>
      </c>
      <c r="R11" s="24">
        <f>(P11+P13+P18+P26)</f>
        <v>0.29372511848341232</v>
      </c>
    </row>
    <row r="12" spans="2:18" ht="14.4" x14ac:dyDescent="0.3">
      <c r="C12" s="108" t="s">
        <v>139</v>
      </c>
      <c r="D12" s="41" t="str">
        <f>VLOOKUP(C12,'Materials List'!$B$6:$F$42,2,0)</f>
        <v>Non-Conductive Water Blocking</v>
      </c>
      <c r="E12" s="109">
        <v>55</v>
      </c>
      <c r="F12" s="110">
        <f>+R16</f>
        <v>6.0000000000000001E-3</v>
      </c>
      <c r="G12" s="109">
        <f t="shared" si="1"/>
        <v>55.33</v>
      </c>
      <c r="H12" s="109">
        <f>VLOOKUP(C12,'Materials List'!$B$6:$F$53,5,0)</f>
        <v>33.434345999999998</v>
      </c>
      <c r="I12" s="109">
        <f t="shared" si="0"/>
        <v>0.57039234753413715</v>
      </c>
      <c r="J12" s="111">
        <f t="shared" si="2"/>
        <v>1849.9223641799999</v>
      </c>
      <c r="K12" s="111">
        <f t="shared" si="3"/>
        <v>31.559808589063806</v>
      </c>
      <c r="L12" s="62">
        <f>J12/$J$32</f>
        <v>4.7975307534690714E-3</v>
      </c>
      <c r="N12" s="36"/>
      <c r="O12" s="36" t="s">
        <v>108</v>
      </c>
      <c r="P12" s="23"/>
      <c r="Q12" s="33" t="s">
        <v>109</v>
      </c>
      <c r="R12" s="24">
        <f>P19+P26+P15</f>
        <v>3.5999999999999997E-2</v>
      </c>
    </row>
    <row r="13" spans="2:18" ht="14.4" x14ac:dyDescent="0.3">
      <c r="C13" s="108" t="s">
        <v>145</v>
      </c>
      <c r="D13" s="41" t="str">
        <f>VLOOKUP(C13,'Materials List'!$B$6:$F$42,2,0)</f>
        <v>Non-Conductive Water Blocking</v>
      </c>
      <c r="E13" s="109">
        <v>65</v>
      </c>
      <c r="F13" s="110">
        <f>+R16</f>
        <v>6.0000000000000001E-3</v>
      </c>
      <c r="G13" s="109">
        <f t="shared" si="1"/>
        <v>65.39</v>
      </c>
      <c r="H13" s="109">
        <f>VLOOKUP(C13,'Materials List'!$B$6:$F$53,5,0)</f>
        <v>39.006737000000001</v>
      </c>
      <c r="I13" s="109">
        <f t="shared" si="0"/>
        <v>0.66545773878982672</v>
      </c>
      <c r="J13" s="111">
        <f t="shared" si="2"/>
        <v>2550.6505324300001</v>
      </c>
      <c r="K13" s="111">
        <f t="shared" si="3"/>
        <v>43.514281539466772</v>
      </c>
      <c r="L13" s="62">
        <f>J13/$J$32</f>
        <v>6.6147772509952355E-3</v>
      </c>
      <c r="N13" s="38" t="s">
        <v>110</v>
      </c>
      <c r="O13" s="36" t="s">
        <v>107</v>
      </c>
      <c r="P13" s="23">
        <f>(150/(E15+E16+E17)/((P6/1000*1)))</f>
        <v>0.17772511848341233</v>
      </c>
      <c r="Q13" s="33" t="s">
        <v>111</v>
      </c>
      <c r="R13" s="24">
        <f>P19+P26+P21</f>
        <v>3.5999999999999997E-2</v>
      </c>
    </row>
    <row r="14" spans="2:18" ht="14.4" x14ac:dyDescent="0.3">
      <c r="C14" s="108" t="s">
        <v>70</v>
      </c>
      <c r="D14" s="41" t="str">
        <f>VLOOKUP(C14,'Materials List'!$B$6:$F$42,2,0)</f>
        <v>Semi-conductive Water Blocking</v>
      </c>
      <c r="E14" s="109">
        <v>85</v>
      </c>
      <c r="F14" s="110">
        <f>+R16</f>
        <v>6.0000000000000001E-3</v>
      </c>
      <c r="G14" s="109">
        <f t="shared" si="1"/>
        <v>85.51</v>
      </c>
      <c r="H14" s="109">
        <f>VLOOKUP(C14,'Materials List'!$B$6:$F$53,5,0)</f>
        <v>132.62290580000001</v>
      </c>
      <c r="I14" s="109">
        <f t="shared" si="0"/>
        <v>2.2625563118854113</v>
      </c>
      <c r="J14" s="111">
        <f t="shared" si="2"/>
        <v>11340.584674958001</v>
      </c>
      <c r="K14" s="111">
        <f t="shared" si="3"/>
        <v>193.47119022932154</v>
      </c>
      <c r="L14" s="62">
        <f>J14/$J$32</f>
        <v>2.9410317315963434E-2</v>
      </c>
      <c r="N14" s="36"/>
      <c r="O14" s="36" t="s">
        <v>108</v>
      </c>
      <c r="P14" s="23"/>
      <c r="Q14" s="33" t="s">
        <v>112</v>
      </c>
      <c r="R14" s="24">
        <f>P20+P26+P19</f>
        <v>3.6000000000000004E-2</v>
      </c>
    </row>
    <row r="15" spans="2:18" ht="14.4" x14ac:dyDescent="0.3">
      <c r="C15" s="108" t="s">
        <v>49</v>
      </c>
      <c r="D15" s="41" t="str">
        <f>VLOOKUP(C15,'Materials List'!$B$6:$F$42,2,0)</f>
        <v>Thermosetting S.C - Bonded</v>
      </c>
      <c r="E15" s="109">
        <v>69</v>
      </c>
      <c r="F15" s="110">
        <f>+R11</f>
        <v>0.29372511848341232</v>
      </c>
      <c r="G15" s="109">
        <f t="shared" si="1"/>
        <v>89.267033175355451</v>
      </c>
      <c r="H15" s="109">
        <f>VLOOKUP(C15,'Materials List'!$B$6:$F$53,5,0)</f>
        <v>106.38200999999999</v>
      </c>
      <c r="I15" s="109">
        <f t="shared" si="0"/>
        <v>1.8148847421540728</v>
      </c>
      <c r="J15" s="111">
        <f t="shared" si="2"/>
        <v>9496.4064159309946</v>
      </c>
      <c r="K15" s="111">
        <f t="shared" si="3"/>
        <v>162.00937648731403</v>
      </c>
      <c r="L15" s="62">
        <f>J15/$J$32</f>
        <v>2.4627683144997626E-2</v>
      </c>
      <c r="N15" s="38" t="s">
        <v>113</v>
      </c>
      <c r="O15" s="38" t="s">
        <v>114</v>
      </c>
      <c r="P15" s="39">
        <f>30/P6</f>
        <v>0.03</v>
      </c>
      <c r="Q15" s="1" t="s">
        <v>115</v>
      </c>
      <c r="R15" s="24">
        <v>0.01</v>
      </c>
    </row>
    <row r="16" spans="2:18" ht="14.4" x14ac:dyDescent="0.3">
      <c r="C16" s="108" t="s">
        <v>50</v>
      </c>
      <c r="D16" s="41" t="str">
        <f>VLOOKUP(C16,'Materials List'!$B$6:$F$42,2,0)</f>
        <v>XLPE Insulation For M.V Cable</v>
      </c>
      <c r="E16" s="109">
        <v>691</v>
      </c>
      <c r="F16" s="110">
        <f>+R10</f>
        <v>0.29372511848341232</v>
      </c>
      <c r="G16" s="109">
        <f t="shared" si="1"/>
        <v>893.96405687203787</v>
      </c>
      <c r="H16" s="109">
        <f>VLOOKUP(C16,'Materials List'!$B$6:$F$53,5,0)</f>
        <v>112.967563</v>
      </c>
      <c r="I16" s="109">
        <f t="shared" si="0"/>
        <v>1.927234750001706</v>
      </c>
      <c r="J16" s="111">
        <f t="shared" si="2"/>
        <v>100988.94091442753</v>
      </c>
      <c r="K16" s="111">
        <f t="shared" si="3"/>
        <v>1722.8785956562929</v>
      </c>
      <c r="L16" s="62">
        <f>J16/$J$32</f>
        <v>0.2619015582375514</v>
      </c>
      <c r="N16" s="38" t="s">
        <v>116</v>
      </c>
      <c r="O16" s="38" t="s">
        <v>105</v>
      </c>
      <c r="P16" s="23">
        <v>2E-3</v>
      </c>
      <c r="Q16" s="33" t="s">
        <v>117</v>
      </c>
      <c r="R16" s="24">
        <f>0.4%+0.2%</f>
        <v>6.0000000000000001E-3</v>
      </c>
    </row>
    <row r="17" spans="3:18" ht="14.4" x14ac:dyDescent="0.3">
      <c r="C17" s="108" t="s">
        <v>49</v>
      </c>
      <c r="D17" s="41" t="str">
        <f>VLOOKUP(C17,'Materials List'!$B$6:$F$42,2,0)</f>
        <v>Thermosetting S.C - Bonded</v>
      </c>
      <c r="E17" s="109">
        <v>84</v>
      </c>
      <c r="F17" s="110">
        <f>+R11</f>
        <v>0.29372511848341232</v>
      </c>
      <c r="G17" s="109">
        <f t="shared" si="1"/>
        <v>108.67290995260663</v>
      </c>
      <c r="H17" s="109">
        <f>VLOOKUP(C17,'Materials List'!$B$6:$F$53,5,0)</f>
        <v>106.38200999999999</v>
      </c>
      <c r="I17" s="109">
        <f t="shared" si="0"/>
        <v>1.8148847421540728</v>
      </c>
      <c r="J17" s="111">
        <f t="shared" si="2"/>
        <v>11560.842593307298</v>
      </c>
      <c r="K17" s="111">
        <f t="shared" si="3"/>
        <v>197.22880615846927</v>
      </c>
      <c r="L17" s="62">
        <f>J17/$J$32</f>
        <v>2.9981527306953634E-2</v>
      </c>
      <c r="N17" s="38"/>
      <c r="O17" s="38" t="s">
        <v>107</v>
      </c>
      <c r="P17" s="23">
        <v>2E-3</v>
      </c>
      <c r="Q17" s="33"/>
      <c r="R17" s="33"/>
    </row>
    <row r="18" spans="3:18" ht="14.4" x14ac:dyDescent="0.3">
      <c r="C18" s="108" t="s">
        <v>54</v>
      </c>
      <c r="D18" s="41" t="str">
        <f>VLOOKUP(C18,'Materials List'!$B$6:$F$42,2,0)</f>
        <v>Semi-conductive Water Blocking</v>
      </c>
      <c r="E18" s="109">
        <v>159</v>
      </c>
      <c r="F18" s="110">
        <f>+R16</f>
        <v>6.0000000000000001E-3</v>
      </c>
      <c r="G18" s="109">
        <f>E18+(E18*F18)</f>
        <v>159.95400000000001</v>
      </c>
      <c r="H18" s="109">
        <f>VLOOKUP(C18,'Materials List'!$B$6:$F$53,5,0)</f>
        <v>56.113977370000001</v>
      </c>
      <c r="I18" s="109">
        <f>H18/$E$4</f>
        <v>0.95730848994479367</v>
      </c>
      <c r="J18" s="111">
        <f>G18*H18</f>
        <v>8975.6551362409809</v>
      </c>
      <c r="K18" s="111">
        <f>I18*G18</f>
        <v>153.12532220062954</v>
      </c>
      <c r="L18" s="62">
        <f>J18/$J$32</f>
        <v>2.3277183076672529E-2</v>
      </c>
      <c r="N18" s="38"/>
      <c r="O18" s="38" t="s">
        <v>108</v>
      </c>
      <c r="P18" s="23">
        <v>2E-3</v>
      </c>
      <c r="Q18" s="33"/>
      <c r="R18" s="33"/>
    </row>
    <row r="19" spans="3:18" ht="14.4" x14ac:dyDescent="0.3">
      <c r="C19" s="108" t="s">
        <v>161</v>
      </c>
      <c r="D19" s="41" t="str">
        <f>VLOOKUP(C19,'Materials List'!$B$6:$F$42,2,0)</f>
        <v>Copper Tape 10x0.1mm</v>
      </c>
      <c r="E19" s="109">
        <v>17</v>
      </c>
      <c r="F19" s="110">
        <f>+R12</f>
        <v>3.5999999999999997E-2</v>
      </c>
      <c r="G19" s="109">
        <f t="shared" ref="G19:G25" si="4">E19+(E19*F19)</f>
        <v>17.611999999999998</v>
      </c>
      <c r="H19" s="109">
        <f>VLOOKUP(C19,'Materials List'!$B$6:$F$53,5,0)</f>
        <v>796.02762499999983</v>
      </c>
      <c r="I19" s="109">
        <f t="shared" ref="I19:I25" si="5">H19/$E$4</f>
        <v>13.58028853699647</v>
      </c>
      <c r="J19" s="111">
        <f t="shared" ref="J19:J25" si="6">G19*H19</f>
        <v>14019.638531499995</v>
      </c>
      <c r="K19" s="111">
        <f t="shared" ref="K19:K25" si="7">I19*G19</f>
        <v>239.17604171358181</v>
      </c>
      <c r="L19" s="62">
        <f>J19/$J$32</f>
        <v>3.6358091728462799E-2</v>
      </c>
      <c r="N19" s="38"/>
      <c r="O19" s="38" t="s">
        <v>109</v>
      </c>
      <c r="P19" s="23">
        <v>2E-3</v>
      </c>
      <c r="Q19" s="33"/>
      <c r="R19" s="33"/>
    </row>
    <row r="20" spans="3:18" ht="14.4" x14ac:dyDescent="0.3">
      <c r="C20" s="108" t="s">
        <v>141</v>
      </c>
      <c r="D20" s="41" t="str">
        <f>VLOOKUP(C20,'Materials List'!$B$6:$F$42,2,0)</f>
        <v>Non-Conductive Water Blocking</v>
      </c>
      <c r="E20" s="109">
        <v>170</v>
      </c>
      <c r="F20" s="110">
        <f>+R16</f>
        <v>6.0000000000000001E-3</v>
      </c>
      <c r="G20" s="109">
        <f t="shared" si="4"/>
        <v>171.02</v>
      </c>
      <c r="H20" s="109">
        <f>VLOOKUP(C20,'Materials List'!$B$6:$F$53,5,0)</f>
        <v>47.365323500000002</v>
      </c>
      <c r="I20" s="109">
        <f t="shared" si="5"/>
        <v>0.80805582567336109</v>
      </c>
      <c r="J20" s="111">
        <f t="shared" si="6"/>
        <v>8100.4176249700013</v>
      </c>
      <c r="K20" s="111">
        <f t="shared" si="7"/>
        <v>138.19370730665821</v>
      </c>
      <c r="L20" s="62">
        <f>J20/$J$32</f>
        <v>2.1007369511402453E-2</v>
      </c>
      <c r="N20" s="38" t="s">
        <v>118</v>
      </c>
      <c r="O20" s="40" t="s">
        <v>112</v>
      </c>
      <c r="P20" s="23">
        <f>30/P6</f>
        <v>0.03</v>
      </c>
      <c r="Q20" s="33"/>
      <c r="R20" s="33"/>
    </row>
    <row r="21" spans="3:18" ht="14.4" x14ac:dyDescent="0.3">
      <c r="C21" s="108" t="s">
        <v>74</v>
      </c>
      <c r="D21" s="41" t="str">
        <f>VLOOKUP(C21,'Materials List'!$B$6:$F$42,2,0)</f>
        <v>Polyproplyene  TAPE "60 X 0.125 mm"</v>
      </c>
      <c r="E21" s="109">
        <v>10.4</v>
      </c>
      <c r="F21" s="110">
        <f>+R16</f>
        <v>6.0000000000000001E-3</v>
      </c>
      <c r="G21" s="109">
        <f t="shared" si="4"/>
        <v>10.462400000000001</v>
      </c>
      <c r="H21" s="109">
        <f>VLOOKUP(C21,'Materials List'!$B$6:$F$53,5,0)</f>
        <v>146.90849</v>
      </c>
      <c r="I21" s="109">
        <f t="shared" si="5"/>
        <v>2.5062694058318149</v>
      </c>
      <c r="J21" s="111">
        <f t="shared" si="6"/>
        <v>1537.0153857760001</v>
      </c>
      <c r="K21" s="111">
        <f t="shared" si="7"/>
        <v>26.22159303157478</v>
      </c>
      <c r="L21" s="62">
        <f>J21/$J$32</f>
        <v>3.9860475902101155E-3</v>
      </c>
      <c r="N21" s="38" t="s">
        <v>119</v>
      </c>
      <c r="O21" s="38"/>
      <c r="P21" s="23">
        <f>30/P6</f>
        <v>0.03</v>
      </c>
      <c r="Q21" s="33"/>
      <c r="R21" s="33"/>
    </row>
    <row r="22" spans="3:18" ht="14.4" x14ac:dyDescent="0.3">
      <c r="C22" s="108" t="s">
        <v>147</v>
      </c>
      <c r="D22" s="41" t="str">
        <f>VLOOKUP(C22,'Materials List'!$B$6:$F$42,2,0)</f>
        <v>RIP CORD</v>
      </c>
      <c r="E22" s="109">
        <v>1.01</v>
      </c>
      <c r="F22" s="110">
        <f>+R16</f>
        <v>6.0000000000000001E-3</v>
      </c>
      <c r="G22" s="109">
        <f t="shared" si="4"/>
        <v>1.01606</v>
      </c>
      <c r="H22" s="109">
        <f>VLOOKUP(C22,'Materials List'!$B$6:$F$53,5,0)</f>
        <v>150</v>
      </c>
      <c r="I22" s="109">
        <f t="shared" si="5"/>
        <v>2.5590107887894855</v>
      </c>
      <c r="J22" s="111">
        <f t="shared" si="6"/>
        <v>152.40899999999999</v>
      </c>
      <c r="K22" s="111">
        <f t="shared" si="7"/>
        <v>2.6001085020574446</v>
      </c>
      <c r="L22" s="62">
        <f>J22/$J$32</f>
        <v>3.9525272993257474E-4</v>
      </c>
      <c r="N22" s="38"/>
      <c r="O22" s="38"/>
      <c r="P22" s="23"/>
      <c r="Q22" s="33"/>
      <c r="R22" s="33"/>
    </row>
    <row r="23" spans="3:18" ht="14.4" x14ac:dyDescent="0.3">
      <c r="C23" s="108" t="s">
        <v>162</v>
      </c>
      <c r="D23" s="41" t="str">
        <f>VLOOKUP(C23,'Materials List'!$B$6:$F$42,2,0)</f>
        <v>Laminted Aluminum  TAPE</v>
      </c>
      <c r="E23" s="109">
        <v>85.66</v>
      </c>
      <c r="F23" s="110">
        <f>+R16</f>
        <v>6.0000000000000001E-3</v>
      </c>
      <c r="G23" s="109">
        <f t="shared" si="4"/>
        <v>86.173959999999994</v>
      </c>
      <c r="H23" s="109">
        <f>VLOOKUP(C23,'Materials List'!$B$6:$F$53,5,0)</f>
        <v>247.33817324999998</v>
      </c>
      <c r="I23" s="109">
        <f t="shared" si="5"/>
        <v>4.2196070255082194</v>
      </c>
      <c r="J23" s="111">
        <f t="shared" si="6"/>
        <v>21314.109848118565</v>
      </c>
      <c r="K23" s="111">
        <f t="shared" si="7"/>
        <v>363.62024703186427</v>
      </c>
      <c r="L23" s="62">
        <f>J23/$J$32</f>
        <v>5.5275345311311265E-2</v>
      </c>
      <c r="N23" s="38"/>
      <c r="O23" s="38"/>
      <c r="P23" s="23"/>
      <c r="Q23" s="33"/>
      <c r="R23" s="33"/>
    </row>
    <row r="24" spans="3:18" ht="14.4" x14ac:dyDescent="0.3">
      <c r="C24" s="108" t="s">
        <v>53</v>
      </c>
      <c r="D24" s="41" t="str">
        <f>VLOOKUP(C24,'Materials List'!$B$6:$F$42,2,0)</f>
        <v>Medium density PE Sheath "Black"</v>
      </c>
      <c r="E24" s="109">
        <v>294</v>
      </c>
      <c r="F24" s="110">
        <f>+R15</f>
        <v>0.01</v>
      </c>
      <c r="G24" s="109">
        <f t="shared" si="4"/>
        <v>296.94</v>
      </c>
      <c r="H24" s="109">
        <f>VLOOKUP(C24,'Materials List'!$B$6:$F$53,5,0)</f>
        <v>81.052959999999999</v>
      </c>
      <c r="I24" s="109">
        <f t="shared" si="5"/>
        <v>1.3827693273554842</v>
      </c>
      <c r="J24" s="111">
        <f t="shared" si="6"/>
        <v>24067.8659424</v>
      </c>
      <c r="K24" s="111">
        <f t="shared" si="7"/>
        <v>410.5995240649375</v>
      </c>
      <c r="L24" s="62">
        <f>J24/$J$32</f>
        <v>6.2416850168853809E-2</v>
      </c>
      <c r="N24" s="38"/>
      <c r="O24" s="38"/>
      <c r="P24" s="23"/>
      <c r="Q24" s="33"/>
      <c r="R24" s="33"/>
    </row>
    <row r="25" spans="3:18" ht="14.4" x14ac:dyDescent="0.3">
      <c r="C25" s="108" t="s">
        <v>163</v>
      </c>
      <c r="D25" s="41" t="str">
        <f>VLOOKUP(C25,'Materials List'!$B$6:$F$42,2,0)</f>
        <v>A-ECAP10</v>
      </c>
      <c r="E25" s="109">
        <v>2</v>
      </c>
      <c r="F25" s="110">
        <f>+R16</f>
        <v>6.0000000000000001E-3</v>
      </c>
      <c r="G25" s="109">
        <f t="shared" si="4"/>
        <v>2.012</v>
      </c>
      <c r="H25" s="109">
        <f>VLOOKUP(C25,'Materials List'!$B$6:$F$53,5,0)</f>
        <v>200</v>
      </c>
      <c r="I25" s="109">
        <f t="shared" si="5"/>
        <v>3.4120143850526476</v>
      </c>
      <c r="J25" s="111">
        <f t="shared" si="6"/>
        <v>402.4</v>
      </c>
      <c r="K25" s="111">
        <f t="shared" si="7"/>
        <v>6.8649729427259274</v>
      </c>
      <c r="L25" s="62">
        <f>J25/$J$32</f>
        <v>1.043571564178415E-3</v>
      </c>
      <c r="N25" s="38"/>
      <c r="O25" s="38"/>
      <c r="P25" s="23"/>
      <c r="Q25" s="33"/>
      <c r="R25" s="33"/>
    </row>
    <row r="26" spans="3:18" ht="14.4" x14ac:dyDescent="0.3">
      <c r="C26" s="108"/>
      <c r="D26" s="41"/>
      <c r="E26" s="109"/>
      <c r="F26" s="110"/>
      <c r="G26" s="109"/>
      <c r="H26" s="109"/>
      <c r="I26" s="109"/>
      <c r="J26" s="111"/>
      <c r="K26" s="111"/>
      <c r="L26" s="62"/>
      <c r="N26" s="35" t="s">
        <v>120</v>
      </c>
      <c r="O26" s="35" t="s">
        <v>121</v>
      </c>
      <c r="P26" s="23">
        <f>2/(Q6)+0.2%</f>
        <v>4.0000000000000001E-3</v>
      </c>
      <c r="Q26" s="33"/>
      <c r="R26" s="33"/>
    </row>
    <row r="27" spans="3:18" s="99" customFormat="1" ht="14.4" x14ac:dyDescent="0.3">
      <c r="C27" s="108"/>
      <c r="D27" s="108">
        <v>0</v>
      </c>
      <c r="E27" s="112">
        <v>1000</v>
      </c>
      <c r="F27" s="108"/>
      <c r="G27" s="113">
        <v>0</v>
      </c>
      <c r="H27" s="114">
        <v>0</v>
      </c>
      <c r="I27" s="115">
        <f t="shared" si="0"/>
        <v>0</v>
      </c>
      <c r="J27" s="115">
        <f>H27*G27</f>
        <v>0</v>
      </c>
      <c r="K27" s="115">
        <f t="shared" ref="K27" si="8">I27*G27</f>
        <v>0</v>
      </c>
      <c r="L27" s="116">
        <f>J27/$J$32</f>
        <v>0</v>
      </c>
      <c r="N27" s="100"/>
    </row>
    <row r="28" spans="3:18" x14ac:dyDescent="0.25">
      <c r="C28" s="117" t="s">
        <v>12</v>
      </c>
      <c r="D28" s="117"/>
      <c r="E28" s="117"/>
      <c r="F28" s="117"/>
      <c r="G28" s="117"/>
      <c r="H28" s="117"/>
      <c r="I28" s="117"/>
      <c r="J28" s="118">
        <f>SUM(J9:J27)</f>
        <v>385598.85475300602</v>
      </c>
      <c r="K28" s="118">
        <f>SUM(K9:K27)</f>
        <v>6578.3441963854139</v>
      </c>
      <c r="L28" s="119">
        <f>SUM(L9:L27)</f>
        <v>0.99999999999999978</v>
      </c>
      <c r="N28" s="20"/>
      <c r="O28" s="20"/>
    </row>
    <row r="29" spans="3:18" ht="15" thickBot="1" x14ac:dyDescent="0.35">
      <c r="C29" s="120" t="s">
        <v>13</v>
      </c>
      <c r="D29" s="120"/>
      <c r="E29" s="120"/>
      <c r="F29" s="120"/>
      <c r="G29" s="120"/>
      <c r="H29" s="120"/>
      <c r="I29" s="120"/>
      <c r="J29" s="121">
        <f>+J28*Summary!$K$8</f>
        <v>0</v>
      </c>
      <c r="K29" s="111">
        <f>J29/$E$4</f>
        <v>0</v>
      </c>
      <c r="L29" s="62">
        <f>J29/J32</f>
        <v>0</v>
      </c>
      <c r="M29" s="3"/>
      <c r="N29" s="3"/>
      <c r="Q29" s="3"/>
    </row>
    <row r="30" spans="3:18" ht="14.4" x14ac:dyDescent="0.3">
      <c r="C30" s="120" t="s">
        <v>14</v>
      </c>
      <c r="D30" s="120"/>
      <c r="E30" s="120"/>
      <c r="F30" s="120"/>
      <c r="G30" s="120"/>
      <c r="H30" s="120"/>
      <c r="I30" s="120"/>
      <c r="J30" s="121">
        <f>J28*Summary!$K$9</f>
        <v>0</v>
      </c>
      <c r="K30" s="111">
        <f>J30/$E$4</f>
        <v>0</v>
      </c>
      <c r="L30" s="62">
        <f>J30/$J$32</f>
        <v>0</v>
      </c>
      <c r="N30" s="6" t="s">
        <v>15</v>
      </c>
      <c r="O30" s="7"/>
    </row>
    <row r="31" spans="3:18" ht="14.4" x14ac:dyDescent="0.3">
      <c r="C31" s="120" t="s">
        <v>16</v>
      </c>
      <c r="D31" s="120"/>
      <c r="E31" s="120"/>
      <c r="F31" s="120"/>
      <c r="G31" s="120"/>
      <c r="H31" s="120"/>
      <c r="I31" s="120"/>
      <c r="J31" s="121">
        <f>J28*Summary!$K$10</f>
        <v>0</v>
      </c>
      <c r="K31" s="111">
        <f>J31/$E$4</f>
        <v>0</v>
      </c>
      <c r="L31" s="62">
        <f>J31/$J$32</f>
        <v>0</v>
      </c>
      <c r="N31" s="8" t="s">
        <v>17</v>
      </c>
      <c r="O31" s="9">
        <f>O30-K32</f>
        <v>-6578.3441963854139</v>
      </c>
    </row>
    <row r="32" spans="3:18" ht="13.8" thickBot="1" x14ac:dyDescent="0.3">
      <c r="C32" s="117" t="s">
        <v>18</v>
      </c>
      <c r="D32" s="117"/>
      <c r="E32" s="117"/>
      <c r="F32" s="117"/>
      <c r="G32" s="117"/>
      <c r="H32" s="117"/>
      <c r="I32" s="117"/>
      <c r="J32" s="122">
        <f>SUM(J28:J31)</f>
        <v>385598.85475300602</v>
      </c>
      <c r="K32" s="122">
        <f>SUM(K28:K31)</f>
        <v>6578.3441963854139</v>
      </c>
      <c r="L32" s="119">
        <f>SUM(L28:L31)</f>
        <v>0.99999999999999978</v>
      </c>
      <c r="N32" s="10" t="s">
        <v>4</v>
      </c>
      <c r="O32" s="11" t="e">
        <f>O31/O30</f>
        <v>#DIV/0!</v>
      </c>
    </row>
    <row r="33" spans="4:11" x14ac:dyDescent="0.25">
      <c r="J33" s="3"/>
      <c r="K33" s="17"/>
    </row>
    <row r="34" spans="4:11" x14ac:dyDescent="0.25">
      <c r="F34" s="43" t="s">
        <v>125</v>
      </c>
      <c r="G34" s="43" t="s">
        <v>126</v>
      </c>
      <c r="H34" s="43" t="s">
        <v>127</v>
      </c>
      <c r="I34" s="43" t="s">
        <v>128</v>
      </c>
      <c r="J34" s="43" t="s">
        <v>129</v>
      </c>
      <c r="K34" s="43" t="s">
        <v>130</v>
      </c>
    </row>
    <row r="35" spans="4:11" ht="14.4" x14ac:dyDescent="0.3">
      <c r="F35" s="55"/>
      <c r="G35" s="41">
        <v>0</v>
      </c>
      <c r="H35" s="72">
        <v>0</v>
      </c>
      <c r="I35" s="95" t="e">
        <f>IF($N$27="Supported",VLOOKUP(F35,#REF!,2,0)*1.25,VLOOKUP(F35,#REF!,2,0))</f>
        <v>#REF!</v>
      </c>
      <c r="J35" s="72">
        <f>H35*G35</f>
        <v>0</v>
      </c>
      <c r="K35" s="72" t="e">
        <f>I35*G35</f>
        <v>#REF!</v>
      </c>
    </row>
    <row r="36" spans="4:11" ht="14.4" x14ac:dyDescent="0.3">
      <c r="F36" s="55"/>
      <c r="G36" s="41">
        <v>0</v>
      </c>
      <c r="H36" s="72">
        <v>0</v>
      </c>
      <c r="I36" s="95" t="e">
        <f>IF($N$27="Supported",VLOOKUP(F36,#REF!,2,0)*1.25,VLOOKUP(F36,#REF!,2,0))</f>
        <v>#REF!</v>
      </c>
      <c r="J36" s="72">
        <f>H36*G36</f>
        <v>0</v>
      </c>
      <c r="K36" s="72" t="e">
        <f>I36*G36</f>
        <v>#REF!</v>
      </c>
    </row>
    <row r="37" spans="4:11" x14ac:dyDescent="0.25">
      <c r="J37" s="96">
        <f>SUM(J35:J36)</f>
        <v>0</v>
      </c>
      <c r="K37" s="96" t="e">
        <f>SUM(K35:K36)</f>
        <v>#REF!</v>
      </c>
    </row>
    <row r="38" spans="4:11" x14ac:dyDescent="0.25">
      <c r="J38" s="97"/>
      <c r="K38" s="98" t="e">
        <f>K37/J37*1000</f>
        <v>#REF!</v>
      </c>
    </row>
    <row r="39" spans="4:11" x14ac:dyDescent="0.25">
      <c r="D39" s="67" t="s">
        <v>134</v>
      </c>
      <c r="E39" s="67" t="s">
        <v>135</v>
      </c>
      <c r="F39" s="67" t="s">
        <v>136</v>
      </c>
      <c r="G39" s="67" t="s">
        <v>136</v>
      </c>
    </row>
    <row r="40" spans="4:11" x14ac:dyDescent="0.25">
      <c r="D40" s="61" t="s">
        <v>138</v>
      </c>
      <c r="E40" s="68"/>
      <c r="F40" s="42">
        <f>E40/1000*(2000-H35)</f>
        <v>0</v>
      </c>
      <c r="G40" s="74" t="e">
        <f>+F40/E40</f>
        <v>#DIV/0!</v>
      </c>
    </row>
    <row r="41" spans="4:11" x14ac:dyDescent="0.25">
      <c r="D41" s="61" t="s">
        <v>101</v>
      </c>
      <c r="E41" s="68"/>
      <c r="F41" s="42">
        <f>E41/1000*(2000-H36)</f>
        <v>0</v>
      </c>
      <c r="G41" s="74" t="e">
        <f>+F41/E41</f>
        <v>#DIV/0!</v>
      </c>
    </row>
    <row r="42" spans="4:11" x14ac:dyDescent="0.25">
      <c r="D42" s="69" t="s">
        <v>137</v>
      </c>
      <c r="E42" s="70">
        <f>+E41*K6</f>
        <v>0</v>
      </c>
      <c r="F42" s="71">
        <f>+SUM(F40:F41)</f>
        <v>0</v>
      </c>
      <c r="G42" s="73" t="e">
        <f>+F42/E42</f>
        <v>#DIV/0!</v>
      </c>
    </row>
  </sheetData>
  <mergeCells count="5">
    <mergeCell ref="C28:I28"/>
    <mergeCell ref="C29:I29"/>
    <mergeCell ref="C30:I30"/>
    <mergeCell ref="C31:I31"/>
    <mergeCell ref="C32:I32"/>
  </mergeCells>
  <conditionalFormatting sqref="C9:C27">
    <cfRule type="duplicateValues" dxfId="1" priority="6"/>
  </conditionalFormatting>
  <conditionalFormatting sqref="E9:E26">
    <cfRule type="duplicateValues" dxfId="0" priority="8"/>
  </conditionalFormatting>
  <dataValidations count="2">
    <dataValidation type="list" allowBlank="1" showInputMessage="1" showErrorMessage="1" sqref="N27" xr:uid="{00000000-0002-0000-0400-000000000000}">
      <formula1>#REF!</formula1>
    </dataValidation>
    <dataValidation type="list" allowBlank="1" showInputMessage="1" showErrorMessage="1" errorTitle="Packing Size" error="BOOOOOOOOOOOM" promptTitle="Packing Size" sqref="C27 F35:F36" xr:uid="{00000000-0002-0000-0400-000001000000}">
      <formula1>#REF!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2"/>
  <sheetViews>
    <sheetView showGridLines="0" topLeftCell="B8" zoomScale="90" zoomScaleNormal="90" workbookViewId="0">
      <selection activeCell="D23" sqref="D23"/>
    </sheetView>
  </sheetViews>
  <sheetFormatPr defaultColWidth="9.109375" defaultRowHeight="13.2" x14ac:dyDescent="0.25"/>
  <cols>
    <col min="1" max="1" width="3" style="1" hidden="1" customWidth="1"/>
    <col min="2" max="2" width="2.109375" style="1" customWidth="1"/>
    <col min="3" max="3" width="14" style="1" bestFit="1" customWidth="1"/>
    <col min="4" max="4" width="59.77734375" style="1" bestFit="1" customWidth="1"/>
    <col min="5" max="5" width="12.88671875" style="1" bestFit="1" customWidth="1"/>
    <col min="6" max="6" width="9.77734375" style="1" bestFit="1" customWidth="1"/>
    <col min="7" max="7" width="17.5546875" style="1" bestFit="1" customWidth="1"/>
    <col min="8" max="8" width="11.33203125" style="1" customWidth="1"/>
    <col min="9" max="9" width="10.5546875" style="1" customWidth="1"/>
    <col min="10" max="10" width="14.109375" style="1" bestFit="1" customWidth="1"/>
    <col min="11" max="11" width="12.109375" style="1" customWidth="1"/>
    <col min="12" max="12" width="7.6640625" style="1" bestFit="1" customWidth="1"/>
    <col min="13" max="13" width="0.6640625" style="1" customWidth="1"/>
    <col min="14" max="14" width="16.33203125" style="1" bestFit="1" customWidth="1"/>
    <col min="15" max="15" width="13.6640625" style="1" bestFit="1" customWidth="1"/>
    <col min="16" max="16384" width="9.109375" style="1"/>
  </cols>
  <sheetData>
    <row r="1" spans="2:18" ht="3" customHeight="1" x14ac:dyDescent="0.25"/>
    <row r="2" spans="2:18" x14ac:dyDescent="0.25">
      <c r="D2" s="56" t="s">
        <v>6</v>
      </c>
      <c r="E2" s="57">
        <f>Summary!$D$9</f>
        <v>3239.8751631032351</v>
      </c>
    </row>
    <row r="3" spans="2:18" x14ac:dyDescent="0.25">
      <c r="D3" s="56" t="s">
        <v>7</v>
      </c>
      <c r="E3" s="57">
        <f>Summary!$D$10</f>
        <v>14463.72840671087</v>
      </c>
    </row>
    <row r="4" spans="2:18" x14ac:dyDescent="0.25">
      <c r="D4" s="56" t="str">
        <f>IF(Summary!H10="USD","USD Rate",IF(Summary!H10="Euro","Euro Rate","GBP Rate"))</f>
        <v>Euro Rate</v>
      </c>
      <c r="E4" s="5">
        <f>IF(Summary!H10="USD",Summary!K5,IF(Summary!H10="GBP",Summary!K7,Summary!K6))</f>
        <v>58.616399999999999</v>
      </c>
      <c r="J4" s="5" t="s">
        <v>153</v>
      </c>
      <c r="K4" s="25" t="s">
        <v>167</v>
      </c>
      <c r="P4" s="1" t="s">
        <v>100</v>
      </c>
      <c r="Q4" s="1" t="s">
        <v>101</v>
      </c>
    </row>
    <row r="5" spans="2:18" ht="4.5" customHeight="1" x14ac:dyDescent="0.25"/>
    <row r="6" spans="2:18" x14ac:dyDescent="0.25">
      <c r="D6" s="4" t="s">
        <v>165</v>
      </c>
      <c r="J6" s="5" t="s">
        <v>5</v>
      </c>
      <c r="K6" s="25">
        <f>Summary!D16</f>
        <v>1</v>
      </c>
      <c r="N6" s="33"/>
      <c r="O6" s="33"/>
      <c r="P6" s="34">
        <f>+K6*1000</f>
        <v>1000</v>
      </c>
      <c r="Q6" s="34">
        <f>+E27</f>
        <v>1000</v>
      </c>
      <c r="R6" s="33"/>
    </row>
    <row r="7" spans="2:18" ht="4.5" customHeight="1" x14ac:dyDescent="0.25">
      <c r="N7" s="33"/>
      <c r="O7" s="33"/>
      <c r="P7" s="33"/>
      <c r="Q7" s="33"/>
      <c r="R7" s="33"/>
    </row>
    <row r="8" spans="2:18" s="2" customFormat="1" ht="26.4" x14ac:dyDescent="0.3">
      <c r="C8" s="77" t="s">
        <v>0</v>
      </c>
      <c r="D8" s="77" t="s">
        <v>1</v>
      </c>
      <c r="E8" s="77" t="s">
        <v>9</v>
      </c>
      <c r="F8" s="77" t="s">
        <v>10</v>
      </c>
      <c r="G8" s="78" t="s">
        <v>11</v>
      </c>
      <c r="H8" s="78" t="s">
        <v>2</v>
      </c>
      <c r="I8" s="78" t="str">
        <f>IF(Summary!H10="USD","Unit Price USD",IF(Summary!H10="GBP","Unit Price GBP","Unit Price Euro"))</f>
        <v>Unit Price Euro</v>
      </c>
      <c r="J8" s="77" t="s">
        <v>3</v>
      </c>
      <c r="K8" s="77" t="str">
        <f>IF(Summary!H10="USD","Value USD",IF(Summary!H10="GBP","Value GBP","Value Euro"))</f>
        <v>Value Euro</v>
      </c>
      <c r="L8" s="77" t="s">
        <v>4</v>
      </c>
      <c r="N8" s="35" t="s">
        <v>102</v>
      </c>
      <c r="O8" s="35"/>
      <c r="P8" s="35" t="s">
        <v>102</v>
      </c>
      <c r="Q8" s="35"/>
      <c r="R8" s="35"/>
    </row>
    <row r="9" spans="2:18" ht="14.4" x14ac:dyDescent="0.3">
      <c r="B9" s="1" t="str">
        <f>+IF(C9="CR01","CU",IF(C9="CR02","CU",IF(C9="AR01","AL",IF(C9="AR02","AL",IF(C9="AR08","AL",IF(C9="AR03","AL"))))))</f>
        <v>CU</v>
      </c>
      <c r="C9" s="108" t="s">
        <v>27</v>
      </c>
      <c r="D9" s="41" t="str">
        <f>VLOOKUP(C9,'Materials List'!$B$6:$F$42,2,0)</f>
        <v>Copper Rod "8mm"</v>
      </c>
      <c r="E9" s="109">
        <v>3683.36</v>
      </c>
      <c r="F9" s="110">
        <f>+R9</f>
        <v>0.156</v>
      </c>
      <c r="G9" s="109">
        <f>E9+(E9*F9)</f>
        <v>4257.9641600000004</v>
      </c>
      <c r="H9" s="109">
        <f>VLOOKUP(C9,'Materials List'!$B$6:$F$53,5,0)</f>
        <v>760.82024549999983</v>
      </c>
      <c r="I9" s="109">
        <f t="shared" ref="I9:I27" si="0">H9/$E$4</f>
        <v>12.979648110426432</v>
      </c>
      <c r="J9" s="111">
        <f>G9*H9</f>
        <v>3239545.3375414009</v>
      </c>
      <c r="K9" s="111">
        <f>I9*G9</f>
        <v>55266.876463607477</v>
      </c>
      <c r="L9" s="62">
        <f t="shared" ref="L9:L18" si="1">J9/$J$32</f>
        <v>0.94546102534577903</v>
      </c>
      <c r="M9" s="3"/>
      <c r="N9" s="35" t="s">
        <v>103</v>
      </c>
      <c r="O9" s="35" t="s">
        <v>104</v>
      </c>
      <c r="P9" s="23">
        <f>40/(P6*1)</f>
        <v>0.04</v>
      </c>
      <c r="Q9" s="33" t="s">
        <v>105</v>
      </c>
      <c r="R9" s="24">
        <f>P9+P11+P16+P26</f>
        <v>0.156</v>
      </c>
    </row>
    <row r="10" spans="2:18" ht="14.4" x14ac:dyDescent="0.3">
      <c r="C10" s="108" t="s">
        <v>63</v>
      </c>
      <c r="D10" s="41" t="str">
        <f>VLOOKUP(C10,'Materials List'!$B$6:$F$42,2,0)</f>
        <v>Water blocking yarn  3WY055 Tapes</v>
      </c>
      <c r="E10" s="109">
        <v>5</v>
      </c>
      <c r="F10" s="110">
        <f>+R16</f>
        <v>6.0000000000000001E-3</v>
      </c>
      <c r="G10" s="109">
        <f t="shared" ref="G10:G18" si="2">E10+(E10*F10)</f>
        <v>5.03</v>
      </c>
      <c r="H10" s="109">
        <f>VLOOKUP(C10,'Materials List'!$B$6:$F$53,5,0)</f>
        <v>1109.0222879999999</v>
      </c>
      <c r="I10" s="109">
        <f t="shared" si="0"/>
        <v>18.919999999999998</v>
      </c>
      <c r="J10" s="111">
        <f t="shared" ref="J10:J18" si="3">G10*H10</f>
        <v>5578.3821086399994</v>
      </c>
      <c r="K10" s="111">
        <f t="shared" ref="K10:K18" si="4">I10*G10</f>
        <v>95.167599999999993</v>
      </c>
      <c r="L10" s="62">
        <f t="shared" si="1"/>
        <v>1.6280503338187717E-3</v>
      </c>
      <c r="N10" s="36" t="s">
        <v>106</v>
      </c>
      <c r="O10" s="36" t="s">
        <v>104</v>
      </c>
      <c r="P10" s="37"/>
      <c r="Q10" s="33" t="s">
        <v>107</v>
      </c>
      <c r="R10" s="24">
        <f>(P11+P13+P17+P26)</f>
        <v>0.38008450704225349</v>
      </c>
    </row>
    <row r="11" spans="2:18" ht="14.4" x14ac:dyDescent="0.3">
      <c r="C11" s="108" t="s">
        <v>144</v>
      </c>
      <c r="D11" s="41" t="str">
        <f>VLOOKUP(C11,'Materials List'!$B$6:$F$42,2,0)</f>
        <v>Non-Conductive Water Blocking</v>
      </c>
      <c r="E11" s="109">
        <v>35</v>
      </c>
      <c r="F11" s="110">
        <f>+R16</f>
        <v>6.0000000000000001E-3</v>
      </c>
      <c r="G11" s="109">
        <f t="shared" si="2"/>
        <v>35.21</v>
      </c>
      <c r="H11" s="109">
        <f>VLOOKUP(C11,'Materials List'!$B$6:$F$53,5,0)</f>
        <v>40.678454300000006</v>
      </c>
      <c r="I11" s="109">
        <f t="shared" si="0"/>
        <v>0.69397735616653367</v>
      </c>
      <c r="J11" s="111">
        <f t="shared" si="3"/>
        <v>1432.2883759030003</v>
      </c>
      <c r="K11" s="111">
        <f t="shared" si="4"/>
        <v>24.434942710623652</v>
      </c>
      <c r="L11" s="62">
        <f t="shared" si="1"/>
        <v>4.1801323808600199E-4</v>
      </c>
      <c r="N11" s="36"/>
      <c r="O11" s="36" t="s">
        <v>107</v>
      </c>
      <c r="P11" s="23">
        <f>110/(P6*1)</f>
        <v>0.11</v>
      </c>
      <c r="Q11" s="33" t="s">
        <v>108</v>
      </c>
      <c r="R11" s="24">
        <f>(P11+P13+P18+P26)</f>
        <v>0.38008450704225349</v>
      </c>
    </row>
    <row r="12" spans="2:18" ht="14.4" x14ac:dyDescent="0.3">
      <c r="C12" s="108" t="s">
        <v>145</v>
      </c>
      <c r="D12" s="41" t="str">
        <f>VLOOKUP(C12,'Materials List'!$B$6:$F$42,2,0)</f>
        <v>Non-Conductive Water Blocking</v>
      </c>
      <c r="E12" s="109">
        <v>65</v>
      </c>
      <c r="F12" s="110">
        <f>+R16</f>
        <v>6.0000000000000001E-3</v>
      </c>
      <c r="G12" s="109">
        <f t="shared" si="2"/>
        <v>65.39</v>
      </c>
      <c r="H12" s="109">
        <f>VLOOKUP(C12,'Materials List'!$B$6:$F$53,5,0)</f>
        <v>39.006737000000001</v>
      </c>
      <c r="I12" s="109">
        <f t="shared" si="0"/>
        <v>0.66545773878982672</v>
      </c>
      <c r="J12" s="111">
        <f t="shared" si="3"/>
        <v>2550.6505324300001</v>
      </c>
      <c r="K12" s="111">
        <f t="shared" si="4"/>
        <v>43.514281539466772</v>
      </c>
      <c r="L12" s="62">
        <f t="shared" si="1"/>
        <v>7.4440713631753765E-4</v>
      </c>
      <c r="N12" s="36"/>
      <c r="O12" s="36" t="s">
        <v>108</v>
      </c>
      <c r="P12" s="23"/>
      <c r="Q12" s="33" t="s">
        <v>109</v>
      </c>
      <c r="R12" s="24">
        <f>P19+P26+P15</f>
        <v>3.5999999999999997E-2</v>
      </c>
    </row>
    <row r="13" spans="2:18" ht="14.4" x14ac:dyDescent="0.3">
      <c r="C13" s="108" t="s">
        <v>140</v>
      </c>
      <c r="D13" s="41" t="str">
        <f>VLOOKUP(C13,'Materials List'!$B$6:$F$42,2,0)</f>
        <v>Non-Conductive Water Blocking</v>
      </c>
      <c r="E13" s="109">
        <v>75</v>
      </c>
      <c r="F13" s="110">
        <f>+R16</f>
        <v>6.0000000000000001E-3</v>
      </c>
      <c r="G13" s="109">
        <f t="shared" si="2"/>
        <v>75.45</v>
      </c>
      <c r="H13" s="109">
        <f>VLOOKUP(C13,'Materials List'!$B$6:$F$53,5,0)</f>
        <v>31.2053896</v>
      </c>
      <c r="I13" s="109">
        <f t="shared" si="0"/>
        <v>0.53236619103186145</v>
      </c>
      <c r="J13" s="111">
        <f t="shared" si="3"/>
        <v>2354.4466453200002</v>
      </c>
      <c r="K13" s="111">
        <f t="shared" si="4"/>
        <v>40.167029113353948</v>
      </c>
      <c r="L13" s="62">
        <f t="shared" si="1"/>
        <v>6.8714504890849629E-4</v>
      </c>
      <c r="N13" s="38" t="s">
        <v>110</v>
      </c>
      <c r="O13" s="36" t="s">
        <v>107</v>
      </c>
      <c r="P13" s="23">
        <f>(150/(E15+E16+E17))/((P6/1000*1))</f>
        <v>0.2640845070422535</v>
      </c>
      <c r="Q13" s="33" t="s">
        <v>111</v>
      </c>
      <c r="R13" s="24">
        <f>P19+P26+P21</f>
        <v>3.5999999999999997E-2</v>
      </c>
    </row>
    <row r="14" spans="2:18" ht="14.4" x14ac:dyDescent="0.3">
      <c r="C14" s="108" t="s">
        <v>70</v>
      </c>
      <c r="D14" s="41" t="str">
        <f>VLOOKUP(C14,'Materials List'!$B$6:$F$42,2,0)</f>
        <v>Semi-conductive Water Blocking</v>
      </c>
      <c r="E14" s="109">
        <v>95</v>
      </c>
      <c r="F14" s="110">
        <f>+R16</f>
        <v>6.0000000000000001E-3</v>
      </c>
      <c r="G14" s="109">
        <f t="shared" si="2"/>
        <v>95.57</v>
      </c>
      <c r="H14" s="109">
        <f>VLOOKUP(C14,'Materials List'!$B$6:$F$53,5,0)</f>
        <v>132.62290580000001</v>
      </c>
      <c r="I14" s="109">
        <f t="shared" si="0"/>
        <v>2.2625563118854113</v>
      </c>
      <c r="J14" s="111">
        <f t="shared" si="3"/>
        <v>12674.771107306</v>
      </c>
      <c r="K14" s="111">
        <f t="shared" si="4"/>
        <v>216.23250672688874</v>
      </c>
      <c r="L14" s="62">
        <f t="shared" si="1"/>
        <v>3.6991308466240718E-3</v>
      </c>
      <c r="N14" s="36"/>
      <c r="O14" s="36" t="s">
        <v>108</v>
      </c>
      <c r="P14" s="23"/>
      <c r="Q14" s="33" t="s">
        <v>112</v>
      </c>
      <c r="R14" s="24">
        <f>P20+P26+P19</f>
        <v>3.6000000000000004E-2</v>
      </c>
    </row>
    <row r="15" spans="2:18" ht="14.4" x14ac:dyDescent="0.3">
      <c r="C15" s="108" t="s">
        <v>49</v>
      </c>
      <c r="D15" s="41" t="str">
        <f>VLOOKUP(C15,'Materials List'!$B$6:$F$42,2,0)</f>
        <v>Thermosetting S.C - Bonded</v>
      </c>
      <c r="E15" s="109">
        <v>86</v>
      </c>
      <c r="F15" s="110">
        <f>+R11</f>
        <v>0.38008450704225349</v>
      </c>
      <c r="G15" s="109">
        <f t="shared" si="2"/>
        <v>118.68726760563379</v>
      </c>
      <c r="H15" s="109">
        <f>VLOOKUP(C15,'Materials List'!$B$6:$F$53,5,0)</f>
        <v>106.38200999999999</v>
      </c>
      <c r="I15" s="109">
        <f t="shared" si="0"/>
        <v>1.8148847421540728</v>
      </c>
      <c r="J15" s="111">
        <f t="shared" si="3"/>
        <v>12626.190089295209</v>
      </c>
      <c r="K15" s="111">
        <f t="shared" si="4"/>
        <v>215.40371106542213</v>
      </c>
      <c r="L15" s="62">
        <f t="shared" si="1"/>
        <v>3.6849524807378007E-3</v>
      </c>
      <c r="N15" s="38" t="s">
        <v>113</v>
      </c>
      <c r="O15" s="38" t="s">
        <v>114</v>
      </c>
      <c r="P15" s="39">
        <f>30/P6</f>
        <v>0.03</v>
      </c>
      <c r="Q15" s="1" t="s">
        <v>115</v>
      </c>
      <c r="R15" s="24">
        <v>0.01</v>
      </c>
    </row>
    <row r="16" spans="2:18" ht="14.4" x14ac:dyDescent="0.3">
      <c r="C16" s="108" t="s">
        <v>50</v>
      </c>
      <c r="D16" s="41" t="str">
        <f>VLOOKUP(C16,'Materials List'!$B$6:$F$42,2,0)</f>
        <v>XLPE Insulation For M.V Cable</v>
      </c>
      <c r="E16" s="109">
        <v>366</v>
      </c>
      <c r="F16" s="110">
        <f>+R10</f>
        <v>0.38008450704225349</v>
      </c>
      <c r="G16" s="109">
        <f t="shared" si="2"/>
        <v>505.11092957746479</v>
      </c>
      <c r="H16" s="109">
        <f>VLOOKUP(C16,'Materials List'!$B$6:$F$53,5,0)</f>
        <v>112.967563</v>
      </c>
      <c r="I16" s="109">
        <f t="shared" si="0"/>
        <v>1.927234750001706</v>
      </c>
      <c r="J16" s="111">
        <f t="shared" si="3"/>
        <v>57061.150759030817</v>
      </c>
      <c r="K16" s="111">
        <f t="shared" si="4"/>
        <v>973.46733608735462</v>
      </c>
      <c r="L16" s="62">
        <f t="shared" si="1"/>
        <v>1.6653291892184823E-2</v>
      </c>
      <c r="N16" s="38" t="s">
        <v>116</v>
      </c>
      <c r="O16" s="38" t="s">
        <v>105</v>
      </c>
      <c r="P16" s="23">
        <v>2E-3</v>
      </c>
      <c r="Q16" s="33" t="s">
        <v>117</v>
      </c>
      <c r="R16" s="24">
        <f>0.4%+0.2%</f>
        <v>6.0000000000000001E-3</v>
      </c>
    </row>
    <row r="17" spans="3:18" ht="14.4" x14ac:dyDescent="0.3">
      <c r="C17" s="108" t="s">
        <v>68</v>
      </c>
      <c r="D17" s="41" t="str">
        <f>VLOOKUP(C17,'Materials List'!$B$6:$F$42,2,0)</f>
        <v>Thermosetting S.C - Strippable</v>
      </c>
      <c r="E17" s="109">
        <v>116</v>
      </c>
      <c r="F17" s="110">
        <f>+R11</f>
        <v>0.38008450704225349</v>
      </c>
      <c r="G17" s="109">
        <f t="shared" si="2"/>
        <v>160.0898028169014</v>
      </c>
      <c r="H17" s="109">
        <f>VLOOKUP(C17,'Materials List'!$B$6:$F$53,5,0)</f>
        <v>124.3656355</v>
      </c>
      <c r="I17" s="109">
        <f t="shared" si="0"/>
        <v>2.1216866866610711</v>
      </c>
      <c r="J17" s="111">
        <f t="shared" si="3"/>
        <v>19909.670064393631</v>
      </c>
      <c r="K17" s="111">
        <f t="shared" si="4"/>
        <v>339.66040330681574</v>
      </c>
      <c r="L17" s="62">
        <f t="shared" si="1"/>
        <v>5.810635478762519E-3</v>
      </c>
      <c r="N17" s="38"/>
      <c r="O17" s="38" t="s">
        <v>107</v>
      </c>
      <c r="P17" s="23">
        <v>2E-3</v>
      </c>
      <c r="Q17" s="33"/>
      <c r="R17" s="33"/>
    </row>
    <row r="18" spans="3:18" ht="14.4" x14ac:dyDescent="0.3">
      <c r="C18" s="108" t="s">
        <v>54</v>
      </c>
      <c r="D18" s="41" t="str">
        <f>VLOOKUP(C18,'Materials List'!$B$6:$F$42,2,0)</f>
        <v>Semi-conductive Water Blocking</v>
      </c>
      <c r="E18" s="109">
        <v>143</v>
      </c>
      <c r="F18" s="110">
        <f>+R16</f>
        <v>6.0000000000000001E-3</v>
      </c>
      <c r="G18" s="109">
        <f t="shared" si="2"/>
        <v>143.858</v>
      </c>
      <c r="H18" s="109">
        <f>VLOOKUP(C18,'Materials List'!$B$6:$F$53,5,0)</f>
        <v>56.113977370000001</v>
      </c>
      <c r="I18" s="109">
        <f t="shared" si="0"/>
        <v>0.95730848994479367</v>
      </c>
      <c r="J18" s="111">
        <f t="shared" si="3"/>
        <v>8072.4445564934604</v>
      </c>
      <c r="K18" s="111">
        <f t="shared" si="4"/>
        <v>137.71648474647813</v>
      </c>
      <c r="L18" s="62">
        <f t="shared" si="1"/>
        <v>2.35594224256839E-3</v>
      </c>
      <c r="N18" s="38"/>
      <c r="O18" s="38" t="s">
        <v>108</v>
      </c>
      <c r="P18" s="23">
        <v>2E-3</v>
      </c>
      <c r="Q18" s="33"/>
      <c r="R18" s="33"/>
    </row>
    <row r="19" spans="3:18" ht="14.4" x14ac:dyDescent="0.3">
      <c r="C19" s="108" t="s">
        <v>161</v>
      </c>
      <c r="D19" s="41" t="str">
        <f>VLOOKUP(C19,'Materials List'!$B$6:$F$42,2,0)</f>
        <v>Copper Tape 10x0.1mm</v>
      </c>
      <c r="E19" s="109">
        <v>17</v>
      </c>
      <c r="F19" s="110">
        <f>+R12</f>
        <v>3.5999999999999997E-2</v>
      </c>
      <c r="G19" s="109">
        <f t="shared" ref="G19:G20" si="5">E19+(E19*F19)</f>
        <v>17.611999999999998</v>
      </c>
      <c r="H19" s="109">
        <f>VLOOKUP(C19,'Materials List'!$B$6:$F$53,5,0)</f>
        <v>796.02762499999983</v>
      </c>
      <c r="I19" s="109">
        <f t="shared" ref="I19:I20" si="6">H19/$E$4</f>
        <v>13.58028853699647</v>
      </c>
      <c r="J19" s="111">
        <f t="shared" ref="J19:J20" si="7">G19*H19</f>
        <v>14019.638531499995</v>
      </c>
      <c r="K19" s="111">
        <f t="shared" ref="K19:K20" si="8">I19*G19</f>
        <v>239.17604171358181</v>
      </c>
      <c r="L19" s="62">
        <f t="shared" ref="L19:L20" si="9">J19/$J$32</f>
        <v>4.0916302875479609E-3</v>
      </c>
      <c r="N19" s="38"/>
      <c r="O19" s="38" t="s">
        <v>109</v>
      </c>
      <c r="P19" s="23">
        <v>2E-3</v>
      </c>
      <c r="Q19" s="33"/>
      <c r="R19" s="33"/>
    </row>
    <row r="20" spans="3:18" ht="14.4" x14ac:dyDescent="0.3">
      <c r="C20" s="108" t="s">
        <v>55</v>
      </c>
      <c r="D20" s="41" t="str">
        <f>VLOOKUP(C20,'Materials List'!$B$6:$F$42,2,0)</f>
        <v>Non-Conductive Water Blocking</v>
      </c>
      <c r="E20" s="109">
        <v>156</v>
      </c>
      <c r="F20" s="110">
        <f>+R16</f>
        <v>6.0000000000000001E-3</v>
      </c>
      <c r="G20" s="109">
        <f t="shared" si="5"/>
        <v>156.93600000000001</v>
      </c>
      <c r="H20" s="109">
        <f>VLOOKUP(C20,'Materials List'!$B$6:$F$53,5,0)</f>
        <v>47.365323500000002</v>
      </c>
      <c r="I20" s="109">
        <f t="shared" si="6"/>
        <v>0.80805582567336109</v>
      </c>
      <c r="J20" s="111">
        <f t="shared" si="7"/>
        <v>7433.3244087960011</v>
      </c>
      <c r="K20" s="111">
        <f t="shared" si="8"/>
        <v>126.81304905787461</v>
      </c>
      <c r="L20" s="62">
        <f t="shared" si="9"/>
        <v>2.1694150829825384E-3</v>
      </c>
      <c r="N20" s="38" t="s">
        <v>118</v>
      </c>
      <c r="O20" s="40" t="s">
        <v>112</v>
      </c>
      <c r="P20" s="23">
        <f>30/P6</f>
        <v>0.03</v>
      </c>
      <c r="Q20" s="33"/>
      <c r="R20" s="33"/>
    </row>
    <row r="21" spans="3:18" ht="14.4" x14ac:dyDescent="0.3">
      <c r="C21" s="108" t="s">
        <v>35</v>
      </c>
      <c r="D21" s="41" t="str">
        <f>VLOOKUP(C21,'Materials List'!$B$6:$F$42,2,0)</f>
        <v xml:space="preserve">Poly Propylene Tape "40 X 0.125 mm"       </v>
      </c>
      <c r="E21" s="109">
        <v>9.59</v>
      </c>
      <c r="F21" s="110">
        <f>+R16</f>
        <v>6.0000000000000001E-3</v>
      </c>
      <c r="G21" s="109">
        <f t="shared" ref="G21:G25" si="10">E21+(E21*F21)</f>
        <v>9.6475399999999993</v>
      </c>
      <c r="H21" s="109">
        <f>VLOOKUP(C21,'Materials List'!$B$6:$F$53,5,0)</f>
        <v>146.90849</v>
      </c>
      <c r="I21" s="109">
        <f t="shared" ref="I21:I25" si="11">H21/$E$4</f>
        <v>2.5062694058318149</v>
      </c>
      <c r="J21" s="111">
        <f t="shared" ref="J21:J25" si="12">G21*H21</f>
        <v>1417.3055336145999</v>
      </c>
      <c r="K21" s="111">
        <f t="shared" ref="K21:K25" si="13">I21*G21</f>
        <v>24.179334343538667</v>
      </c>
      <c r="L21" s="62">
        <f t="shared" ref="L21:L25" si="14">J21/$J$32</f>
        <v>4.1364049686567507E-4</v>
      </c>
      <c r="N21" s="38" t="s">
        <v>119</v>
      </c>
      <c r="O21" s="38"/>
      <c r="P21" s="23">
        <f>30/P6</f>
        <v>0.03</v>
      </c>
      <c r="Q21" s="33"/>
      <c r="R21" s="33"/>
    </row>
    <row r="22" spans="3:18" ht="14.4" x14ac:dyDescent="0.3">
      <c r="C22" s="108" t="s">
        <v>147</v>
      </c>
      <c r="D22" s="41" t="str">
        <f>VLOOKUP(C22,'Materials List'!$B$6:$F$42,2,0)</f>
        <v>RIP CORD</v>
      </c>
      <c r="E22" s="109">
        <v>1.01</v>
      </c>
      <c r="F22" s="110">
        <f>+R16</f>
        <v>6.0000000000000001E-3</v>
      </c>
      <c r="G22" s="109">
        <f t="shared" si="10"/>
        <v>1.01606</v>
      </c>
      <c r="H22" s="109">
        <f>VLOOKUP(C22,'Materials List'!$B$6:$F$53,5,0)</f>
        <v>150</v>
      </c>
      <c r="I22" s="109">
        <f t="shared" si="11"/>
        <v>2.5590107887894855</v>
      </c>
      <c r="J22" s="111">
        <f t="shared" si="12"/>
        <v>152.40899999999999</v>
      </c>
      <c r="K22" s="111">
        <f t="shared" si="13"/>
        <v>2.6001085020574446</v>
      </c>
      <c r="L22" s="62">
        <f t="shared" si="14"/>
        <v>4.4480553410400697E-5</v>
      </c>
      <c r="N22" s="38"/>
      <c r="O22" s="38"/>
      <c r="P22" s="23"/>
      <c r="Q22" s="33"/>
      <c r="R22" s="33"/>
    </row>
    <row r="23" spans="3:18" ht="14.4" x14ac:dyDescent="0.3">
      <c r="C23" s="108" t="s">
        <v>166</v>
      </c>
      <c r="D23" s="41" t="str">
        <f>VLOOKUP(C23,'Materials List'!$B$6:$F$42,2,0)</f>
        <v>Laminted Aluminum  TAPE</v>
      </c>
      <c r="E23" s="109">
        <v>80.650000000000006</v>
      </c>
      <c r="F23" s="110">
        <f>+R16</f>
        <v>6.0000000000000001E-3</v>
      </c>
      <c r="G23" s="109">
        <f t="shared" si="10"/>
        <v>81.133900000000011</v>
      </c>
      <c r="H23" s="109">
        <f>VLOOKUP(C23,'Materials List'!$B$6:$F$53,5,0)</f>
        <v>247.33817324999998</v>
      </c>
      <c r="I23" s="109">
        <f t="shared" si="11"/>
        <v>4.2196070255082194</v>
      </c>
      <c r="J23" s="111">
        <f t="shared" si="12"/>
        <v>20067.510614648178</v>
      </c>
      <c r="K23" s="111">
        <f t="shared" si="13"/>
        <v>342.35317444688138</v>
      </c>
      <c r="L23" s="62">
        <f t="shared" si="14"/>
        <v>5.8567012296428765E-3</v>
      </c>
      <c r="N23" s="38"/>
      <c r="O23" s="38"/>
      <c r="P23" s="23"/>
      <c r="Q23" s="33"/>
      <c r="R23" s="33"/>
    </row>
    <row r="24" spans="3:18" ht="14.4" x14ac:dyDescent="0.3">
      <c r="C24" s="108" t="s">
        <v>53</v>
      </c>
      <c r="D24" s="41" t="str">
        <f>VLOOKUP(C24,'Materials List'!$B$6:$F$42,2,0)</f>
        <v>Medium density PE Sheath "Black"</v>
      </c>
      <c r="E24" s="109">
        <v>258</v>
      </c>
      <c r="F24" s="110">
        <f>+R15</f>
        <v>0.01</v>
      </c>
      <c r="G24" s="109">
        <f t="shared" si="10"/>
        <v>260.58</v>
      </c>
      <c r="H24" s="109">
        <f>VLOOKUP(C24,'Materials List'!$B$6:$F$53,5,0)</f>
        <v>81.052959999999999</v>
      </c>
      <c r="I24" s="109">
        <f t="shared" si="11"/>
        <v>1.3827693273554842</v>
      </c>
      <c r="J24" s="111">
        <f t="shared" si="12"/>
        <v>21120.780316799999</v>
      </c>
      <c r="K24" s="111">
        <f t="shared" si="13"/>
        <v>360.32203132229205</v>
      </c>
      <c r="L24" s="62">
        <f t="shared" si="14"/>
        <v>6.1640979007195253E-3</v>
      </c>
      <c r="N24" s="38"/>
      <c r="O24" s="38"/>
      <c r="P24" s="23"/>
      <c r="Q24" s="33"/>
      <c r="R24" s="33"/>
    </row>
    <row r="25" spans="3:18" ht="14.4" x14ac:dyDescent="0.3">
      <c r="C25" s="108" t="s">
        <v>163</v>
      </c>
      <c r="D25" s="41" t="str">
        <f>VLOOKUP(C25,'Materials List'!$B$6:$F$42,2,0)</f>
        <v>A-ECAP10</v>
      </c>
      <c r="E25" s="109">
        <v>2</v>
      </c>
      <c r="F25" s="110">
        <f>+R16</f>
        <v>6.0000000000000001E-3</v>
      </c>
      <c r="G25" s="109">
        <f t="shared" si="10"/>
        <v>2.012</v>
      </c>
      <c r="H25" s="109">
        <f>VLOOKUP(C25,'Materials List'!$B$6:$F$53,5,0)</f>
        <v>200</v>
      </c>
      <c r="I25" s="109">
        <f t="shared" si="11"/>
        <v>3.4120143850526476</v>
      </c>
      <c r="J25" s="111">
        <f t="shared" si="12"/>
        <v>402.4</v>
      </c>
      <c r="K25" s="111">
        <f t="shared" si="13"/>
        <v>6.8649729427259274</v>
      </c>
      <c r="L25" s="62">
        <f t="shared" si="14"/>
        <v>1.1744040504396224E-4</v>
      </c>
      <c r="N25" s="38"/>
      <c r="O25" s="38"/>
      <c r="P25" s="23"/>
      <c r="Q25" s="33"/>
      <c r="R25" s="33"/>
    </row>
    <row r="26" spans="3:18" ht="14.4" x14ac:dyDescent="0.3">
      <c r="C26" s="108"/>
      <c r="D26" s="41"/>
      <c r="E26" s="109"/>
      <c r="F26" s="110"/>
      <c r="G26" s="109"/>
      <c r="H26" s="109"/>
      <c r="I26" s="109"/>
      <c r="J26" s="111"/>
      <c r="K26" s="111"/>
      <c r="L26" s="62"/>
      <c r="N26" s="35" t="s">
        <v>120</v>
      </c>
      <c r="O26" s="35" t="s">
        <v>121</v>
      </c>
      <c r="P26" s="23">
        <f>2/(Q6)+0.2%</f>
        <v>4.0000000000000001E-3</v>
      </c>
      <c r="Q26" s="33"/>
      <c r="R26" s="33"/>
    </row>
    <row r="27" spans="3:18" s="99" customFormat="1" ht="14.4" x14ac:dyDescent="0.3">
      <c r="C27" s="108"/>
      <c r="D27" s="108"/>
      <c r="E27" s="112">
        <v>1000</v>
      </c>
      <c r="F27" s="108"/>
      <c r="G27" s="113"/>
      <c r="H27" s="114"/>
      <c r="I27" s="115">
        <f t="shared" si="0"/>
        <v>0</v>
      </c>
      <c r="J27" s="115">
        <f>H27*G27</f>
        <v>0</v>
      </c>
      <c r="K27" s="115">
        <f t="shared" ref="K27" si="15">I27*G27</f>
        <v>0</v>
      </c>
      <c r="L27" s="116">
        <f>J27/$J$32</f>
        <v>0</v>
      </c>
      <c r="N27" s="100"/>
    </row>
    <row r="28" spans="3:18" x14ac:dyDescent="0.25">
      <c r="C28" s="117" t="s">
        <v>12</v>
      </c>
      <c r="D28" s="117"/>
      <c r="E28" s="117"/>
      <c r="F28" s="117"/>
      <c r="G28" s="117"/>
      <c r="H28" s="117"/>
      <c r="I28" s="117"/>
      <c r="J28" s="118">
        <f>SUM(J9:J27)</f>
        <v>3426418.7001855704</v>
      </c>
      <c r="K28" s="118">
        <f>SUM(K9:K27)</f>
        <v>58454.949471232838</v>
      </c>
      <c r="L28" s="119">
        <f>SUM(L9:L27)</f>
        <v>1.0000000000000002</v>
      </c>
      <c r="N28" s="20"/>
      <c r="O28" s="20"/>
    </row>
    <row r="29" spans="3:18" ht="15" thickBot="1" x14ac:dyDescent="0.35">
      <c r="C29" s="120" t="s">
        <v>13</v>
      </c>
      <c r="D29" s="120"/>
      <c r="E29" s="120"/>
      <c r="F29" s="120"/>
      <c r="G29" s="120"/>
      <c r="H29" s="120"/>
      <c r="I29" s="120"/>
      <c r="J29" s="121">
        <f>+J28*Summary!$K$8</f>
        <v>0</v>
      </c>
      <c r="K29" s="111">
        <f>J29/$E$4</f>
        <v>0</v>
      </c>
      <c r="L29" s="62">
        <f>J29/J32</f>
        <v>0</v>
      </c>
      <c r="M29" s="3"/>
      <c r="N29" s="3"/>
      <c r="Q29" s="3"/>
    </row>
    <row r="30" spans="3:18" ht="14.4" x14ac:dyDescent="0.3">
      <c r="C30" s="120" t="s">
        <v>14</v>
      </c>
      <c r="D30" s="120"/>
      <c r="E30" s="120"/>
      <c r="F30" s="120"/>
      <c r="G30" s="120"/>
      <c r="H30" s="120"/>
      <c r="I30" s="120"/>
      <c r="J30" s="121">
        <f>J28*Summary!$K$9</f>
        <v>0</v>
      </c>
      <c r="K30" s="111">
        <f>J30/$E$4</f>
        <v>0</v>
      </c>
      <c r="L30" s="62">
        <f>J30/$J$32</f>
        <v>0</v>
      </c>
      <c r="N30" s="6" t="s">
        <v>15</v>
      </c>
      <c r="O30" s="7"/>
    </row>
    <row r="31" spans="3:18" ht="14.4" x14ac:dyDescent="0.3">
      <c r="C31" s="120" t="s">
        <v>16</v>
      </c>
      <c r="D31" s="120"/>
      <c r="E31" s="120"/>
      <c r="F31" s="120"/>
      <c r="G31" s="120"/>
      <c r="H31" s="120"/>
      <c r="I31" s="120"/>
      <c r="J31" s="121">
        <f>J28*Summary!$K$10</f>
        <v>0</v>
      </c>
      <c r="K31" s="111">
        <f>J31/$E$4</f>
        <v>0</v>
      </c>
      <c r="L31" s="62">
        <f>J31/$J$32</f>
        <v>0</v>
      </c>
      <c r="N31" s="8" t="s">
        <v>17</v>
      </c>
      <c r="O31" s="9">
        <f>O30-K32</f>
        <v>-58454.949471232838</v>
      </c>
    </row>
    <row r="32" spans="3:18" ht="13.8" thickBot="1" x14ac:dyDescent="0.3">
      <c r="C32" s="117" t="s">
        <v>18</v>
      </c>
      <c r="D32" s="117"/>
      <c r="E32" s="117"/>
      <c r="F32" s="117"/>
      <c r="G32" s="117"/>
      <c r="H32" s="117"/>
      <c r="I32" s="117"/>
      <c r="J32" s="122">
        <f>SUM(J28:J31)</f>
        <v>3426418.7001855704</v>
      </c>
      <c r="K32" s="122">
        <f>SUM(K28:K31)</f>
        <v>58454.949471232838</v>
      </c>
      <c r="L32" s="119">
        <f>SUM(L28:L31)</f>
        <v>1.0000000000000002</v>
      </c>
      <c r="N32" s="10" t="s">
        <v>4</v>
      </c>
      <c r="O32" s="11" t="e">
        <f>O31/O30</f>
        <v>#DIV/0!</v>
      </c>
    </row>
    <row r="33" spans="4:11" x14ac:dyDescent="0.25">
      <c r="J33" s="3"/>
      <c r="K33" s="17"/>
    </row>
    <row r="34" spans="4:11" x14ac:dyDescent="0.25">
      <c r="F34" s="43" t="s">
        <v>125</v>
      </c>
      <c r="G34" s="43" t="s">
        <v>126</v>
      </c>
      <c r="H34" s="43" t="s">
        <v>127</v>
      </c>
      <c r="I34" s="43" t="s">
        <v>128</v>
      </c>
      <c r="J34" s="43" t="s">
        <v>129</v>
      </c>
      <c r="K34" s="43" t="s">
        <v>130</v>
      </c>
    </row>
    <row r="35" spans="4:11" ht="14.4" x14ac:dyDescent="0.3">
      <c r="F35" s="55"/>
      <c r="G35" s="41">
        <v>0</v>
      </c>
      <c r="H35" s="72">
        <v>0</v>
      </c>
      <c r="I35" s="95" t="e">
        <f>IF($N$27="Supported",VLOOKUP(F35,#REF!,2,0)*1.25,VLOOKUP(F35,#REF!,2,0))</f>
        <v>#REF!</v>
      </c>
      <c r="J35" s="72">
        <f>H35*G35</f>
        <v>0</v>
      </c>
      <c r="K35" s="72" t="e">
        <f>I35*G35</f>
        <v>#REF!</v>
      </c>
    </row>
    <row r="36" spans="4:11" ht="14.4" x14ac:dyDescent="0.3">
      <c r="F36" s="55"/>
      <c r="G36" s="41">
        <v>0</v>
      </c>
      <c r="H36" s="72">
        <v>0</v>
      </c>
      <c r="I36" s="95" t="e">
        <f>IF($N$27="Supported",VLOOKUP(F36,#REF!,2,0)*1.25,VLOOKUP(F36,#REF!,2,0))</f>
        <v>#REF!</v>
      </c>
      <c r="J36" s="72">
        <f>H36*G36</f>
        <v>0</v>
      </c>
      <c r="K36" s="72" t="e">
        <f>I36*G36</f>
        <v>#REF!</v>
      </c>
    </row>
    <row r="37" spans="4:11" x14ac:dyDescent="0.25">
      <c r="J37" s="96">
        <f>SUM(J35:J36)</f>
        <v>0</v>
      </c>
      <c r="K37" s="96" t="e">
        <f>SUM(K35:K36)</f>
        <v>#REF!</v>
      </c>
    </row>
    <row r="38" spans="4:11" x14ac:dyDescent="0.25">
      <c r="J38" s="97"/>
      <c r="K38" s="98" t="e">
        <f>K37/J37*1000</f>
        <v>#REF!</v>
      </c>
    </row>
    <row r="39" spans="4:11" x14ac:dyDescent="0.25">
      <c r="D39" s="67" t="s">
        <v>134</v>
      </c>
      <c r="E39" s="67" t="s">
        <v>135</v>
      </c>
      <c r="F39" s="67" t="s">
        <v>136</v>
      </c>
      <c r="G39" s="67" t="s">
        <v>136</v>
      </c>
    </row>
    <row r="40" spans="4:11" x14ac:dyDescent="0.25">
      <c r="D40" s="61" t="s">
        <v>138</v>
      </c>
      <c r="E40" s="68"/>
      <c r="F40" s="42">
        <f>E40/1000*(2000-H35)</f>
        <v>0</v>
      </c>
      <c r="G40" s="74" t="e">
        <f>+F40/E40</f>
        <v>#DIV/0!</v>
      </c>
    </row>
    <row r="41" spans="4:11" x14ac:dyDescent="0.25">
      <c r="D41" s="61" t="s">
        <v>101</v>
      </c>
      <c r="E41" s="68"/>
      <c r="F41" s="42">
        <f>E41/1000*(2000-H36)</f>
        <v>0</v>
      </c>
      <c r="G41" s="74" t="e">
        <f>+F41/E41</f>
        <v>#DIV/0!</v>
      </c>
    </row>
    <row r="42" spans="4:11" x14ac:dyDescent="0.25">
      <c r="D42" s="69" t="s">
        <v>137</v>
      </c>
      <c r="E42" s="70">
        <f>+E41*K6</f>
        <v>0</v>
      </c>
      <c r="F42" s="71">
        <f>+SUM(F40:F41)</f>
        <v>0</v>
      </c>
      <c r="G42" s="73" t="e">
        <f>+F42/E42</f>
        <v>#DIV/0!</v>
      </c>
    </row>
  </sheetData>
  <mergeCells count="5">
    <mergeCell ref="C28:I28"/>
    <mergeCell ref="C29:I29"/>
    <mergeCell ref="C30:I30"/>
    <mergeCell ref="C31:I31"/>
    <mergeCell ref="C32:I32"/>
  </mergeCells>
  <conditionalFormatting sqref="C9:C27">
    <cfRule type="duplicateValues" dxfId="3" priority="2"/>
  </conditionalFormatting>
  <conditionalFormatting sqref="E9:E26">
    <cfRule type="duplicateValues" dxfId="2" priority="1"/>
  </conditionalFormatting>
  <dataValidations count="2">
    <dataValidation type="list" allowBlank="1" showInputMessage="1" showErrorMessage="1" sqref="N27" xr:uid="{00000000-0002-0000-0500-000000000000}">
      <formula1>#REF!</formula1>
    </dataValidation>
    <dataValidation type="list" allowBlank="1" showInputMessage="1" showErrorMessage="1" errorTitle="Packing Size" error="BOOOOOOOOOOOM" promptTitle="Packing Size" sqref="C27 F35:F36" xr:uid="{00000000-0002-0000-0500-000001000000}">
      <formula1>#REF!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CD9418-06AD-4372-A538-4B2CDBEF33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Summary</vt:lpstr>
      <vt:lpstr>Materials List</vt:lpstr>
      <vt:lpstr>1</vt:lpstr>
      <vt:lpstr>2</vt:lpstr>
      <vt:lpstr>3</vt:lpstr>
      <vt:lpstr>4</vt:lpstr>
      <vt:lpstr>'Materials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2026-08-20T08:12:28Z</dcterms:modified>
</cp:coreProperties>
</file>